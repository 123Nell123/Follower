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filterPrivacy="1" codeName="ThisWorkbook"/>
  <bookViews>
    <workbookView xWindow="-120" yWindow="-120" windowWidth="25440" windowHeight="15390" tabRatio="722"/>
  </bookViews>
  <sheets>
    <sheet name="BDD client" sheetId="4" r:id="rId1"/>
    <sheet name="suivi rapports" sheetId="6" r:id="rId2"/>
    <sheet name="listing clients" sheetId="9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9" l="1"/>
  <c r="I3" i="9"/>
  <c r="F3" i="9"/>
  <c r="IS2" i="4"/>
  <c r="IR2" i="4"/>
  <c r="IQ2" i="4"/>
  <c r="IB2" i="4" s="1"/>
  <c r="IP2" i="4"/>
  <c r="IO2" i="4"/>
  <c r="IN2" i="4"/>
  <c r="IM2" i="4"/>
  <c r="IL2" i="4"/>
  <c r="IK2" i="4"/>
  <c r="IJ2" i="4"/>
  <c r="II2" i="4"/>
  <c r="IH2" i="4"/>
  <c r="IG2" i="4"/>
  <c r="IF2" i="4"/>
  <c r="IE2" i="4"/>
  <c r="ID2" i="4"/>
  <c r="IC2" i="4"/>
  <c r="HZ2" i="4"/>
  <c r="IA2" i="4" s="1"/>
  <c r="HY2" i="4"/>
  <c r="HW2" i="4"/>
  <c r="HN2" i="4"/>
  <c r="HL2" i="4"/>
  <c r="HK2" i="4"/>
  <c r="GV2" i="4" s="1"/>
  <c r="HJ2" i="4"/>
  <c r="HI2" i="4"/>
  <c r="HH2" i="4"/>
  <c r="HG2" i="4"/>
  <c r="HF2" i="4"/>
  <c r="HE2" i="4"/>
  <c r="HD2" i="4"/>
  <c r="HC2" i="4"/>
  <c r="HB2" i="4"/>
  <c r="HA2" i="4"/>
  <c r="GZ2" i="4"/>
  <c r="GY2" i="4"/>
  <c r="GX2" i="4"/>
  <c r="GW2" i="4"/>
  <c r="GT2" i="4"/>
  <c r="GU2" i="4" s="1"/>
  <c r="GS2" i="4"/>
  <c r="GQ2" i="4"/>
  <c r="GH2" i="4"/>
  <c r="GE2" i="4"/>
  <c r="GF2" i="4" s="1"/>
  <c r="FQ2" i="4"/>
  <c r="FP2" i="4"/>
  <c r="EY2" i="4"/>
  <c r="EK2" i="4"/>
  <c r="EZ2" i="4" s="1"/>
  <c r="EJ2" i="4"/>
  <c r="DU2" i="4"/>
  <c r="DS2" i="4"/>
  <c r="DT2" i="4" s="1"/>
  <c r="DE2" i="4"/>
  <c r="DD2" i="4"/>
  <c r="CM2" i="4"/>
  <c r="CN2" i="4" s="1"/>
  <c r="BY2" i="4"/>
  <c r="BX2" i="4"/>
  <c r="BG2" i="4"/>
  <c r="BH2" i="4" s="1"/>
  <c r="AS2" i="4"/>
  <c r="AR2" i="4"/>
  <c r="L2" i="4"/>
  <c r="J2" i="4"/>
  <c r="I2" i="4"/>
</calcChain>
</file>

<file path=xl/comments1.xml><?xml version="1.0" encoding="utf-8"?>
<comments xmlns="http://schemas.openxmlformats.org/spreadsheetml/2006/main">
  <authors>
    <author>Auteur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immobilier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nantissement ou autre</t>
        </r>
      </text>
    </comment>
    <comment ref="GG1" authorId="0" shapeId="0">
      <text>
        <r>
          <rPr>
            <b/>
            <sz val="9"/>
            <color indexed="81"/>
            <rFont val="Tahoma"/>
            <family val="2"/>
          </rPr>
          <t>SCPI</t>
        </r>
      </text>
    </comment>
    <comment ref="GR1" authorId="0" shapeId="0">
      <text>
        <r>
          <rPr>
            <b/>
            <sz val="9"/>
            <color indexed="81"/>
            <rFont val="Tahoma"/>
            <family val="2"/>
          </rPr>
          <t>Auteur:</t>
        </r>
        <r>
          <rPr>
            <sz val="9"/>
            <color indexed="81"/>
            <rFont val="Tahoma"/>
            <family val="2"/>
          </rPr>
          <t xml:space="preserve">
échéance de la nu pro ou de l'usufruit - rien si pleine pro</t>
        </r>
      </text>
    </comment>
    <comment ref="HM1" authorId="0" shapeId="0">
      <text>
        <r>
          <rPr>
            <b/>
            <sz val="9"/>
            <color indexed="81"/>
            <rFont val="Tahoma"/>
            <family val="2"/>
          </rPr>
          <t>SCPI</t>
        </r>
      </text>
    </comment>
    <comment ref="HT1" authorId="0" shapeId="0">
      <text>
        <r>
          <rPr>
            <b/>
            <sz val="9"/>
            <color indexed="81"/>
            <rFont val="Tahoma"/>
            <family val="2"/>
          </rPr>
          <t>Auteur:</t>
        </r>
        <r>
          <rPr>
            <sz val="9"/>
            <color indexed="81"/>
            <rFont val="Tahoma"/>
            <family val="2"/>
          </rPr>
          <t xml:space="preserve">
échéance de la nu pro ou de l'usufruit - rien si pleine pro</t>
        </r>
      </text>
    </comment>
  </commentList>
</comments>
</file>

<file path=xl/sharedStrings.xml><?xml version="1.0" encoding="utf-8"?>
<sst xmlns="http://schemas.openxmlformats.org/spreadsheetml/2006/main" count="360" uniqueCount="306">
  <si>
    <t>dernier entretien de suivi</t>
  </si>
  <si>
    <t>-</t>
  </si>
  <si>
    <t>Etat des envois de suivi clients</t>
  </si>
  <si>
    <t>nota : en décembre, spécifier que client dois fournir un certain nombre d'infos si veulent que je prépare imposition dans bilan annuel de mars</t>
  </si>
  <si>
    <t>temps de réalisation : environ 2 bonne journée pour 3eme tri
environ 3 journée pour 4eme trimestre - point annuel</t>
  </si>
  <si>
    <t>temps de réalisation :
11h30 (12/04/2018)</t>
  </si>
  <si>
    <t>Nom</t>
  </si>
  <si>
    <t>suivi 1er trimestre / annuel
Mars</t>
  </si>
  <si>
    <t>suivi 2eme trimestre
Juin</t>
  </si>
  <si>
    <t>suivi 3eme trimestre
Septembre</t>
  </si>
  <si>
    <t>suivi 4eme trimestre
Décembre</t>
  </si>
  <si>
    <t>commentaires 2017</t>
  </si>
  <si>
    <t>suivi 1er quadrimestre / annuel
Fin Mars 2018</t>
  </si>
  <si>
    <t>suivi 2eme quadrimestre
Aout 2018</t>
  </si>
  <si>
    <t>suivi 3eme quadrimestre
Decembre 2018</t>
  </si>
  <si>
    <t>commentaires 2018</t>
  </si>
  <si>
    <t>NOM</t>
  </si>
  <si>
    <t>PRENOM</t>
  </si>
  <si>
    <t>ADRESSE</t>
  </si>
  <si>
    <t>VILLE</t>
  </si>
  <si>
    <t>CP</t>
  </si>
  <si>
    <t>compte rendu</t>
  </si>
  <si>
    <t>Titre A1a</t>
  </si>
  <si>
    <t>nom résidence</t>
  </si>
  <si>
    <t>N°lot</t>
  </si>
  <si>
    <t>date prev de livraison</t>
  </si>
  <si>
    <t>statut du financement</t>
  </si>
  <si>
    <t>date prévisionnelle de début de remboursement</t>
  </si>
  <si>
    <t>avancement des déblocages</t>
  </si>
  <si>
    <t>avancement du projet</t>
  </si>
  <si>
    <t>statut pack</t>
  </si>
  <si>
    <t>référence dossier de prêt</t>
  </si>
  <si>
    <t>mail appels de fonds</t>
  </si>
  <si>
    <t>mail promoteur (rbst)</t>
  </si>
  <si>
    <t>titre B1</t>
  </si>
  <si>
    <t>titre B2</t>
  </si>
  <si>
    <t>titre B3</t>
  </si>
  <si>
    <t>titre B4</t>
  </si>
  <si>
    <t>analyse du marché</t>
  </si>
  <si>
    <t>titre preco restante 1</t>
  </si>
  <si>
    <t>preco restante 1</t>
  </si>
  <si>
    <t>titre preco restante 2</t>
  </si>
  <si>
    <t>preco restante 2</t>
  </si>
  <si>
    <t>titre preco restante 3</t>
  </si>
  <si>
    <t>preco restante 3</t>
  </si>
  <si>
    <t>titre preco restante 4</t>
  </si>
  <si>
    <t>preco restante 4</t>
  </si>
  <si>
    <t>SO</t>
  </si>
  <si>
    <t>mail</t>
  </si>
  <si>
    <t>équilibré</t>
  </si>
  <si>
    <t>prénom</t>
  </si>
  <si>
    <t>LISTING CLIENTS</t>
  </si>
  <si>
    <t>date de R2</t>
  </si>
  <si>
    <t>organisme prêteur et mail</t>
  </si>
  <si>
    <t>accès site prêt</t>
  </si>
  <si>
    <t>nombre de clients :</t>
  </si>
  <si>
    <t>nombre de prospects :</t>
  </si>
  <si>
    <t>nombre de sans suite :</t>
  </si>
  <si>
    <t>téléphone</t>
  </si>
  <si>
    <t>date de naissance</t>
  </si>
  <si>
    <t>coordonnées gestionnaire</t>
  </si>
  <si>
    <t>notaire</t>
  </si>
  <si>
    <t>adresse résidence</t>
  </si>
  <si>
    <t>suivi 1er quadrimestre / annuel
Fin Avril</t>
  </si>
  <si>
    <t>titre B5</t>
  </si>
  <si>
    <t>12/04/2019 : envoi proposition RDV impots</t>
  </si>
  <si>
    <t>Titre B6</t>
  </si>
  <si>
    <t>Titre B7</t>
  </si>
  <si>
    <t>Assurance Vie - SLF Strategic Premium</t>
  </si>
  <si>
    <t>B1 - détenteur</t>
  </si>
  <si>
    <t>B1 - N°contrat2</t>
  </si>
  <si>
    <t>B1 - profil</t>
  </si>
  <si>
    <t>B1 - Versement initial</t>
  </si>
  <si>
    <t>B1 - Versements programmés</t>
  </si>
  <si>
    <t>B1 - commentaire de gestion</t>
  </si>
  <si>
    <t>B1 - commentaires autres</t>
  </si>
  <si>
    <t>B1 - date d'effet</t>
  </si>
  <si>
    <t>B1 - date d'évaluation du portefeuille</t>
  </si>
  <si>
    <t>B1 - valeur du contrat à date</t>
  </si>
  <si>
    <t>B1 - +/- value</t>
  </si>
  <si>
    <t>B1 - +/- value (%)</t>
  </si>
  <si>
    <t>B1 - frais de versements</t>
  </si>
  <si>
    <t>B1 - Etat N-6</t>
  </si>
  <si>
    <t>B1 - Perf N-6</t>
  </si>
  <si>
    <t>B1 - Etat N-5</t>
  </si>
  <si>
    <t>B1 - Perf N-5</t>
  </si>
  <si>
    <t>B1 - Etat N-4</t>
  </si>
  <si>
    <t>B1 - Perf N-4</t>
  </si>
  <si>
    <t>B1 - Etat N-3</t>
  </si>
  <si>
    <t>B1 - Perf N-3</t>
  </si>
  <si>
    <t>B1 - Etat N-2</t>
  </si>
  <si>
    <t>B1 - Perf N-2</t>
  </si>
  <si>
    <t>B1 - Etat N-1</t>
  </si>
  <si>
    <t>B1 - Perf N-1</t>
  </si>
  <si>
    <t>B1 - Etat N</t>
  </si>
  <si>
    <t>B1 - Perf N</t>
  </si>
  <si>
    <t>B2 - détenteur</t>
  </si>
  <si>
    <t>B2 - N°contrat2</t>
  </si>
  <si>
    <t>B2 - profil</t>
  </si>
  <si>
    <t>B2 - Versement initial</t>
  </si>
  <si>
    <t>B2 - Versements programmés</t>
  </si>
  <si>
    <t>B2 - commentaire de gestion</t>
  </si>
  <si>
    <t>B2 - commentaires autres</t>
  </si>
  <si>
    <t>B2 - date d'effet</t>
  </si>
  <si>
    <t>B2 - date d'évaluation du portefeuille</t>
  </si>
  <si>
    <t>B2 - valeur du contrat à date</t>
  </si>
  <si>
    <t>B2 - +/- value</t>
  </si>
  <si>
    <t>B2 - +/- value (%)</t>
  </si>
  <si>
    <t>B2 - frais de versements</t>
  </si>
  <si>
    <t>B2 - Etat N-6</t>
  </si>
  <si>
    <t>B2 - Perf N-6</t>
  </si>
  <si>
    <t>B2 - Etat N-5</t>
  </si>
  <si>
    <t>B2 - Perf N-5</t>
  </si>
  <si>
    <t>B2 - Etat N-4</t>
  </si>
  <si>
    <t>B2 - Perf N-4</t>
  </si>
  <si>
    <t>B2 - Etat N-3</t>
  </si>
  <si>
    <t>B2 - Perf N-3</t>
  </si>
  <si>
    <t>B2 - Etat N-2</t>
  </si>
  <si>
    <t>B2 - Perf N-2</t>
  </si>
  <si>
    <t>B2 - Etat N-1</t>
  </si>
  <si>
    <t>B2 - Perf N-1</t>
  </si>
  <si>
    <t>B2 - Etat N</t>
  </si>
  <si>
    <t>B2 - Perf N</t>
  </si>
  <si>
    <t>B3 - détenteur</t>
  </si>
  <si>
    <t>B3 - N°contrat2</t>
  </si>
  <si>
    <t>B3 - profil</t>
  </si>
  <si>
    <t>B3 - Versement initial</t>
  </si>
  <si>
    <t>B3 - Versements programmés</t>
  </si>
  <si>
    <t>B3 - commentaire de gestion</t>
  </si>
  <si>
    <t>B3 - commentaires autres</t>
  </si>
  <si>
    <t>B3 - date d'effet</t>
  </si>
  <si>
    <t>B3 - date d'évaluation du portefeuille</t>
  </si>
  <si>
    <t>B3 - valeur du contrat à date</t>
  </si>
  <si>
    <t>B3 - +/- value</t>
  </si>
  <si>
    <t>B3 - +/- value (%)</t>
  </si>
  <si>
    <t>B3 - frais de versements</t>
  </si>
  <si>
    <t>B3 - Etat N-6</t>
  </si>
  <si>
    <t>B3 - Perf N-6</t>
  </si>
  <si>
    <t>B3 - Etat N-5</t>
  </si>
  <si>
    <t>B3 - Perf N-5</t>
  </si>
  <si>
    <t>B3 - Etat N-4</t>
  </si>
  <si>
    <t>B3 - Perf N-4</t>
  </si>
  <si>
    <t>B3 - Etat N-3</t>
  </si>
  <si>
    <t>B3 - Perf N-3</t>
  </si>
  <si>
    <t>B3 - Etat N-2</t>
  </si>
  <si>
    <t>B3 - Perf N-2</t>
  </si>
  <si>
    <t>B3 - Etat N-1</t>
  </si>
  <si>
    <t>B3 - Perf N-1</t>
  </si>
  <si>
    <t>B3 - Etat N</t>
  </si>
  <si>
    <t>B3 - Perf N</t>
  </si>
  <si>
    <t>B4 - détenteur</t>
  </si>
  <si>
    <t>B4 - N°contrat2</t>
  </si>
  <si>
    <t>B4 - profil</t>
  </si>
  <si>
    <t>B4 - Versement initial</t>
  </si>
  <si>
    <t>B4 - Versements programmés</t>
  </si>
  <si>
    <t>B4 - commentaire de gestion</t>
  </si>
  <si>
    <t>B4 - commentaires autres</t>
  </si>
  <si>
    <t>B4 - date d'effet</t>
  </si>
  <si>
    <t>B4 - date d'évaluation du portefeuille</t>
  </si>
  <si>
    <t>B4 - valeur du contrat à date</t>
  </si>
  <si>
    <t>B4 - +/- value</t>
  </si>
  <si>
    <t>B4 - +/- value (%)</t>
  </si>
  <si>
    <t>B4 - frais de versements</t>
  </si>
  <si>
    <t>B4 - Etat N-6</t>
  </si>
  <si>
    <t>B4 - Perf N-6</t>
  </si>
  <si>
    <t>B4 - Etat N-5</t>
  </si>
  <si>
    <t>B4 - Perf N-5</t>
  </si>
  <si>
    <t>B4 - Etat N-4</t>
  </si>
  <si>
    <t>B4 - Perf N-4</t>
  </si>
  <si>
    <t>B4 - Etat N-3</t>
  </si>
  <si>
    <t>B4 - Perf N-3</t>
  </si>
  <si>
    <t>B4 - Etat N-2</t>
  </si>
  <si>
    <t>B4 - Perf N-2</t>
  </si>
  <si>
    <t>B4 - Etat N-1</t>
  </si>
  <si>
    <t>B4 - Perf N-1</t>
  </si>
  <si>
    <t>B4 - Etat N</t>
  </si>
  <si>
    <t>B4 - Perf N</t>
  </si>
  <si>
    <t>B5 - détenteur</t>
  </si>
  <si>
    <t>B5 - N°contrat2</t>
  </si>
  <si>
    <t>B5 - profil</t>
  </si>
  <si>
    <t>B5 - Versement initial</t>
  </si>
  <si>
    <t>B5 - Versements programmés</t>
  </si>
  <si>
    <t>B5 - commentaire de gestion</t>
  </si>
  <si>
    <t>B5 - commentaires autres</t>
  </si>
  <si>
    <t>B5 - date d'effet</t>
  </si>
  <si>
    <t>B5 - date d'évaluation du portefeuille</t>
  </si>
  <si>
    <t>B5 - valeur du contrat à date</t>
  </si>
  <si>
    <t>B5 - +/- value</t>
  </si>
  <si>
    <t>B5 - +/- value (%)</t>
  </si>
  <si>
    <t>B5 - frais de versements</t>
  </si>
  <si>
    <t>B5 - Etat N-6</t>
  </si>
  <si>
    <t>B5 - Perf N-6</t>
  </si>
  <si>
    <t>B5 - Etat N-5</t>
  </si>
  <si>
    <t>B5 - Perf N-5</t>
  </si>
  <si>
    <t>B5 - Etat N-4</t>
  </si>
  <si>
    <t>B5 - Perf N-4</t>
  </si>
  <si>
    <t>B5 - Etat N-3</t>
  </si>
  <si>
    <t>B5 - Perf N-3</t>
  </si>
  <si>
    <t>B5 - Etat N-2</t>
  </si>
  <si>
    <t>B5 - Perf N-2</t>
  </si>
  <si>
    <t>B5 - Etat N-1</t>
  </si>
  <si>
    <t>B5 - Perf N-1</t>
  </si>
  <si>
    <t>B5 - Etat N</t>
  </si>
  <si>
    <t>B5 - Perf N</t>
  </si>
  <si>
    <t>Assurance Vie - SLF Strategic premium</t>
  </si>
  <si>
    <t>B6 - détenteur</t>
  </si>
  <si>
    <t>B7 - détenteur</t>
  </si>
  <si>
    <t>B6 - scté de gestion</t>
  </si>
  <si>
    <t>B1 - somme des versements depuis janvier</t>
  </si>
  <si>
    <t>B1 - somme des rachats depuis janvier</t>
  </si>
  <si>
    <t>B1 - somme des versements N-1</t>
  </si>
  <si>
    <t>B1 - somme des rachats N-1</t>
  </si>
  <si>
    <t>B2 - somme des versements depuis janvier</t>
  </si>
  <si>
    <t>B2 - somme des rachats depuis janvier</t>
  </si>
  <si>
    <t>B3 - somme des rachats depuis janvier</t>
  </si>
  <si>
    <t>B3 - somme des versements depuis janvier</t>
  </si>
  <si>
    <t>B4 - somme des versements depuis janvier</t>
  </si>
  <si>
    <t>B4 - somme des rachats depuis janvier</t>
  </si>
  <si>
    <t>B5 - somme des versements depuis janvier</t>
  </si>
  <si>
    <t>B5 - somme des rachats depuis janvier</t>
  </si>
  <si>
    <t>B6 - N°contrat</t>
  </si>
  <si>
    <t>B6 - commentaire</t>
  </si>
  <si>
    <t>B6 - Mode de détention</t>
  </si>
  <si>
    <t>B6 - Date de souscription</t>
  </si>
  <si>
    <t>B6 - Nombre de parts</t>
  </si>
  <si>
    <t>B6 - Date d'échéance</t>
  </si>
  <si>
    <t>B6 - date d'évaluation part SCPI</t>
  </si>
  <si>
    <t>B6 - cours de la part</t>
  </si>
  <si>
    <t>B6 - valeur de rachat</t>
  </si>
  <si>
    <t>B7 - scté de gestion</t>
  </si>
  <si>
    <t>B7 - N°contrat</t>
  </si>
  <si>
    <t>B7 - commentaire</t>
  </si>
  <si>
    <t>B7 - Mode de détention</t>
  </si>
  <si>
    <t>B7 - Date de souscription</t>
  </si>
  <si>
    <t>B7 - Nombre de parts</t>
  </si>
  <si>
    <t>B7 - Date d'échéance</t>
  </si>
  <si>
    <t>B7 - date d'évaluation part SCPI</t>
  </si>
  <si>
    <t>B7 - cours de la part</t>
  </si>
  <si>
    <t>B7 - valeur de rachat</t>
  </si>
  <si>
    <t>B2 - somme des rachats N-1</t>
  </si>
  <si>
    <t>B2 - somme des versements N-1</t>
  </si>
  <si>
    <t>B3 - somme des versements N-1</t>
  </si>
  <si>
    <t>B3 - somme des rachats N-1</t>
  </si>
  <si>
    <t>B4 - somme des versements N-1</t>
  </si>
  <si>
    <t>B4 - somme des rachats N-1</t>
  </si>
  <si>
    <t>B5 - somme des versements N-1</t>
  </si>
  <si>
    <t>B5 - somme des rachats N-1</t>
  </si>
  <si>
    <t>ouverture : VI=15000€ + 100€/mois</t>
  </si>
  <si>
    <t>B6 - lien internet</t>
  </si>
  <si>
    <t>B6 - prix d'achat</t>
  </si>
  <si>
    <t>Nom SCPI…</t>
  </si>
  <si>
    <t>B6 - Valeur de retrait de la part N-5</t>
  </si>
  <si>
    <t>B6 - DVM N-5</t>
  </si>
  <si>
    <t>B6 - Valeur de retrait de la part N-4</t>
  </si>
  <si>
    <t>B6 - DVM N-4</t>
  </si>
  <si>
    <t>B6 - Valeur de retrait de la part N-3</t>
  </si>
  <si>
    <t>B6 -DVM N-3</t>
  </si>
  <si>
    <t>B6 - Valeur de retrait de la part N-2</t>
  </si>
  <si>
    <t>B6 - DVM N-2</t>
  </si>
  <si>
    <t>B6 - Valeur de retrait de la part N-1</t>
  </si>
  <si>
    <t>B6 - DVM N-1</t>
  </si>
  <si>
    <t>B7 - prix d'achat</t>
  </si>
  <si>
    <t>B7 - lien internet</t>
  </si>
  <si>
    <t>B7 - Valeur de retrait de la part N-5</t>
  </si>
  <si>
    <t>B7 - DVM N-5</t>
  </si>
  <si>
    <t>B7 - Valeur de retrait de la part N-4</t>
  </si>
  <si>
    <t>B7 - DVM N-4</t>
  </si>
  <si>
    <t>B7 - Valeur de retrait de la part N-3</t>
  </si>
  <si>
    <t>B7 -DVM N-3</t>
  </si>
  <si>
    <t>B7 - Valeur de retrait de la part N-2</t>
  </si>
  <si>
    <t>B7 - DVM N-2</t>
  </si>
  <si>
    <t>B7 - Valeur de retrait de la part N-1</t>
  </si>
  <si>
    <t>B7 - DVM N-1</t>
  </si>
  <si>
    <t>Prochain point annuel</t>
  </si>
  <si>
    <t>A1 - commentaire</t>
  </si>
  <si>
    <t>B6 - montant invest</t>
  </si>
  <si>
    <t>Projet d'investissement Pinel Nantes</t>
  </si>
  <si>
    <t>Girardin industriel</t>
  </si>
  <si>
    <t>SCPI en financement</t>
  </si>
  <si>
    <t>Dans un objectif de diversification du patrimoine et d'optimisation du rendement des placements, utilisation de la capacité d'investissement restante pour souscription de parts de SCPI en financement</t>
  </si>
  <si>
    <t>Investissement immobilier en déficit foncier</t>
  </si>
  <si>
    <t>Dans un objectif de diversification du patrimoine et d'optimisation de la fiscalité des revenus foncier, investissement dans un second bien immobilier bénifiant des avantages du déficit foncier.</t>
  </si>
  <si>
    <t>Dans un opbjectif d'optimisation fiscale, investiseement en dispositif Girardin industriel.</t>
  </si>
  <si>
    <t>B6 - clé d'achat</t>
  </si>
  <si>
    <t>B7 - clé d'achat</t>
  </si>
  <si>
    <t>B7 - montant invest</t>
  </si>
  <si>
    <t>suivi 4eme trimestre
janvier</t>
  </si>
  <si>
    <t>B6 - distribution par part N-5</t>
  </si>
  <si>
    <t>B6 - distribution par part N-4</t>
  </si>
  <si>
    <t>B6 -distribution par part N-3</t>
  </si>
  <si>
    <t>B6 - distribution par part N-2</t>
  </si>
  <si>
    <t>B6 - distribution par part N-1</t>
  </si>
  <si>
    <t>B6 - rendement annuel brut sur N-1</t>
  </si>
  <si>
    <t>B7 - rendement annuel brut sur N-1</t>
  </si>
  <si>
    <t>B7 - distribution par part N-5</t>
  </si>
  <si>
    <t>B7 - distribution par part N-4</t>
  </si>
  <si>
    <t>B7 -distribution par part N-3</t>
  </si>
  <si>
    <t>B7 - distribution par part N-2</t>
  </si>
  <si>
    <t>B7 - distribution par part N-1</t>
  </si>
  <si>
    <t>suivi 3eme trimestre
oct 2019</t>
  </si>
  <si>
    <t>suivi 2eme trimestre
juin 2019</t>
  </si>
  <si>
    <t>commentaires 2019</t>
  </si>
  <si>
    <t>test</t>
  </si>
  <si>
    <t>n°</t>
  </si>
  <si>
    <t>test3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</si>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</sst>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5" formatCode="[$-F800]dddd\,\ mmmm\ dd\,\ yyyy"/>
    <numFmt numFmtId="166" formatCode="_-* #,##0.0000\ _€_-;\-* #,##0.0000\ _€_-;_-* &quot;-&quot;??\ _€_-;_-@_-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gradientFill degree="45">
        <stop position="0">
          <color theme="0"/>
        </stop>
        <stop position="1">
          <color rgb="FF92D050"/>
        </stop>
      </gradient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</cellStyleXfs>
  <cellXfs count="13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2" fillId="3" borderId="0" xfId="0" applyNumberFormat="1" applyFont="1" applyFill="1" applyAlignment="1" applyProtection="1">
      <alignment horizontal="center" vertical="center"/>
      <protection locked="0"/>
    </xf>
    <xf numFmtId="44" fontId="2" fillId="3" borderId="0" xfId="5" applyFill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2" fillId="5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43" fontId="2" fillId="4" borderId="0" xfId="4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3" borderId="0" xfId="0" applyNumberFormat="1" applyFill="1" applyAlignment="1" applyProtection="1">
      <alignment horizontal="center" vertical="center"/>
      <protection locked="0"/>
    </xf>
    <xf numFmtId="14" fontId="0" fillId="3" borderId="1" xfId="0" applyNumberFormat="1" applyFill="1" applyBorder="1" applyAlignment="1" applyProtection="1">
      <alignment horizontal="center" vertical="center"/>
      <protection locked="0"/>
    </xf>
    <xf numFmtId="44" fontId="0" fillId="3" borderId="0" xfId="5" applyFont="1" applyFill="1" applyAlignment="1" applyProtection="1">
      <alignment horizontal="center" vertical="center"/>
      <protection locked="0"/>
    </xf>
    <xf numFmtId="44" fontId="0" fillId="3" borderId="0" xfId="5" quotePrefix="1" applyFont="1" applyFill="1" applyAlignment="1" applyProtection="1">
      <alignment horizontal="center" vertical="center"/>
      <protection locked="0"/>
    </xf>
    <xf numFmtId="0" fontId="0" fillId="3" borderId="1" xfId="0" quotePrefix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0" xfId="0" quotePrefix="1" applyFill="1" applyAlignment="1" applyProtection="1">
      <alignment horizontal="center" vertical="center"/>
      <protection locked="0"/>
    </xf>
    <xf numFmtId="0" fontId="0" fillId="4" borderId="1" xfId="0" quotePrefix="1" applyFill="1" applyBorder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14" fontId="2" fillId="4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0" fontId="0" fillId="8" borderId="0" xfId="0" applyFill="1"/>
    <xf numFmtId="0" fontId="0" fillId="0" borderId="0" xfId="0" applyAlignment="1">
      <alignment wrapText="1"/>
    </xf>
    <xf numFmtId="0" fontId="2" fillId="4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44" fontId="2" fillId="3" borderId="0" xfId="5" applyFill="1" applyAlignment="1">
      <alignment horizontal="center" vertical="center"/>
    </xf>
    <xf numFmtId="0" fontId="0" fillId="4" borderId="0" xfId="0" applyFill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4" fontId="0" fillId="4" borderId="0" xfId="0" applyNumberFormat="1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2" fontId="2" fillId="3" borderId="0" xfId="6" applyNumberFormat="1" applyFill="1" applyAlignment="1" applyProtection="1">
      <alignment horizontal="center" vertical="center"/>
      <protection locked="0"/>
    </xf>
    <xf numFmtId="10" fontId="2" fillId="3" borderId="0" xfId="6" applyNumberFormat="1" applyFill="1" applyAlignment="1" applyProtection="1">
      <alignment horizontal="center" vertical="center"/>
      <protection locked="0"/>
    </xf>
    <xf numFmtId="2" fontId="0" fillId="0" borderId="0" xfId="0" applyNumberFormat="1" applyAlignment="1">
      <alignment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0" fontId="0" fillId="0" borderId="0" xfId="6" applyNumberFormat="1" applyFont="1" applyAlignment="1">
      <alignment vertical="center"/>
    </xf>
    <xf numFmtId="9" fontId="0" fillId="8" borderId="0" xfId="6" applyFont="1" applyFill="1" applyAlignment="1">
      <alignment horizontal="center" vertical="center"/>
    </xf>
    <xf numFmtId="14" fontId="2" fillId="5" borderId="0" xfId="0" applyNumberFormat="1" applyFont="1" applyFill="1" applyAlignment="1" applyProtection="1">
      <alignment horizontal="center" vertical="center"/>
      <protection locked="0"/>
    </xf>
    <xf numFmtId="2" fontId="2" fillId="4" borderId="0" xfId="0" applyNumberFormat="1" applyFont="1" applyFill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2" fontId="0" fillId="3" borderId="0" xfId="6" applyNumberFormat="1" applyFont="1" applyFill="1" applyAlignment="1" applyProtection="1">
      <alignment horizontal="center" vertical="center"/>
      <protection locked="0"/>
    </xf>
    <xf numFmtId="2" fontId="0" fillId="3" borderId="0" xfId="0" applyNumberFormat="1" applyFill="1" applyAlignment="1" applyProtection="1">
      <alignment horizontal="center" vertical="center"/>
      <protection locked="0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10" fontId="0" fillId="4" borderId="0" xfId="6" quotePrefix="1" applyNumberFormat="1" applyFont="1" applyFill="1" applyAlignment="1" applyProtection="1">
      <alignment horizontal="center" vertical="center"/>
      <protection locked="0"/>
    </xf>
    <xf numFmtId="10" fontId="0" fillId="3" borderId="0" xfId="6" applyNumberFormat="1" applyFont="1" applyFill="1" applyAlignment="1" applyProtection="1">
      <alignment horizontal="center" vertical="center"/>
      <protection locked="0"/>
    </xf>
    <xf numFmtId="2" fontId="0" fillId="4" borderId="0" xfId="0" applyNumberFormat="1" applyFill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vertical="center"/>
    </xf>
    <xf numFmtId="2" fontId="2" fillId="3" borderId="0" xfId="5" applyNumberFormat="1" applyFill="1" applyAlignment="1" applyProtection="1">
      <alignment horizontal="center" vertical="center"/>
      <protection locked="0"/>
    </xf>
    <xf numFmtId="10" fontId="2" fillId="4" borderId="0" xfId="6" applyNumberFormat="1" applyFill="1" applyAlignment="1" applyProtection="1">
      <alignment horizontal="center" vertical="center"/>
      <protection locked="0"/>
    </xf>
    <xf numFmtId="2" fontId="2" fillId="9" borderId="0" xfId="5" applyNumberFormat="1" applyFill="1" applyAlignment="1" applyProtection="1">
      <alignment horizontal="center" vertical="center"/>
      <protection locked="0"/>
    </xf>
    <xf numFmtId="2" fontId="2" fillId="9" borderId="0" xfId="6" applyNumberFormat="1" applyFill="1" applyAlignment="1" applyProtection="1">
      <alignment horizontal="center" vertical="center"/>
      <protection locked="0"/>
    </xf>
    <xf numFmtId="10" fontId="0" fillId="4" borderId="0" xfId="6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Alignment="1">
      <alignment vertical="center"/>
    </xf>
    <xf numFmtId="43" fontId="0" fillId="0" borderId="0" xfId="0" applyNumberFormat="1" applyAlignment="1">
      <alignment vertical="center"/>
    </xf>
    <xf numFmtId="2" fontId="0" fillId="0" borderId="0" xfId="6" applyNumberFormat="1" applyFont="1" applyAlignment="1">
      <alignment vertical="center"/>
    </xf>
    <xf numFmtId="165" fontId="0" fillId="0" borderId="0" xfId="0" applyNumberFormat="1" applyAlignment="1">
      <alignment vertical="center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2" fillId="6" borderId="0" xfId="0" applyNumberFormat="1" applyFont="1" applyFill="1" applyAlignment="1">
      <alignment horizontal="left" vertical="center" wrapText="1"/>
    </xf>
    <xf numFmtId="44" fontId="2" fillId="4" borderId="0" xfId="0" applyNumberFormat="1" applyFont="1" applyFill="1" applyAlignment="1" applyProtection="1">
      <alignment horizontal="center" vertical="center"/>
      <protection locked="0"/>
    </xf>
    <xf numFmtId="10" fontId="2" fillId="3" borderId="0" xfId="6" applyNumberFormat="1" applyFont="1" applyFill="1" applyAlignment="1" applyProtection="1">
      <alignment horizontal="center" vertical="center"/>
      <protection locked="0"/>
    </xf>
    <xf numFmtId="10" fontId="2" fillId="4" borderId="0" xfId="6" applyNumberFormat="1" applyFont="1" applyFill="1" applyAlignment="1" applyProtection="1">
      <alignment horizontal="center" vertical="center"/>
      <protection locked="0"/>
    </xf>
    <xf numFmtId="10" fontId="0" fillId="0" borderId="0" xfId="6" applyNumberFormat="1" applyFont="1" applyAlignment="1">
      <alignment horizontal="center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1" fontId="2" fillId="5" borderId="0" xfId="0" applyNumberFormat="1" applyFont="1" applyFill="1" applyAlignment="1" applyProtection="1">
      <alignment horizontal="center" vertical="center"/>
      <protection locked="0"/>
    </xf>
    <xf numFmtId="44" fontId="2" fillId="5" borderId="0" xfId="5" applyFont="1" applyFill="1" applyAlignment="1" applyProtection="1">
      <alignment horizontal="center" vertical="center"/>
      <protection locked="0"/>
    </xf>
    <xf numFmtId="49" fontId="2" fillId="10" borderId="0" xfId="0" applyNumberFormat="1" applyFont="1" applyFill="1" applyAlignment="1" applyProtection="1">
      <alignment horizontal="center" vertical="center"/>
      <protection locked="0"/>
    </xf>
    <xf numFmtId="14" fontId="2" fillId="10" borderId="0" xfId="0" applyNumberFormat="1" applyFont="1" applyFill="1" applyAlignment="1" applyProtection="1">
      <alignment horizontal="center" vertical="center"/>
      <protection locked="0"/>
    </xf>
    <xf numFmtId="1" fontId="2" fillId="10" borderId="0" xfId="0" applyNumberFormat="1" applyFont="1" applyFill="1" applyAlignment="1" applyProtection="1">
      <alignment horizontal="center" vertical="center"/>
      <protection locked="0"/>
    </xf>
    <xf numFmtId="44" fontId="2" fillId="10" borderId="0" xfId="5" applyFont="1" applyFill="1" applyAlignment="1" applyProtection="1">
      <alignment horizontal="center" vertical="center"/>
      <protection locked="0"/>
    </xf>
    <xf numFmtId="0" fontId="2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>
      <alignment vertical="center"/>
    </xf>
    <xf numFmtId="166" fontId="2" fillId="5" borderId="0" xfId="4" applyNumberFormat="1" applyFont="1" applyFill="1" applyAlignment="1" applyProtection="1">
      <alignment horizontal="center" vertical="center"/>
      <protection locked="0"/>
    </xf>
    <xf numFmtId="10" fontId="0" fillId="5" borderId="0" xfId="6" applyNumberFormat="1" applyFont="1" applyFill="1" applyAlignment="1" applyProtection="1">
      <alignment horizontal="center" vertical="center"/>
      <protection locked="0"/>
    </xf>
    <xf numFmtId="10" fontId="2" fillId="5" borderId="0" xfId="6" applyNumberFormat="1" applyFont="1" applyFill="1" applyAlignment="1" applyProtection="1">
      <alignment horizontal="center" vertical="center"/>
      <protection locked="0"/>
    </xf>
    <xf numFmtId="10" fontId="0" fillId="10" borderId="0" xfId="6" applyNumberFormat="1" applyFont="1" applyFill="1" applyAlignment="1" applyProtection="1">
      <alignment horizontal="center" vertical="center"/>
      <protection locked="0"/>
    </xf>
    <xf numFmtId="10" fontId="2" fillId="10" borderId="0" xfId="6" applyNumberFormat="1" applyFont="1" applyFill="1" applyAlignment="1" applyProtection="1">
      <alignment horizontal="center" vertical="center"/>
      <protection locked="0"/>
    </xf>
    <xf numFmtId="43" fontId="2" fillId="5" borderId="0" xfId="4" applyFont="1" applyFill="1" applyAlignment="1" applyProtection="1">
      <alignment horizontal="center" vertical="center"/>
      <protection locked="0"/>
    </xf>
    <xf numFmtId="43" fontId="0" fillId="0" borderId="0" xfId="4" applyFont="1" applyAlignment="1">
      <alignment horizontal="center" vertical="center"/>
    </xf>
    <xf numFmtId="0" fontId="0" fillId="4" borderId="0" xfId="0" applyNumberFormat="1" applyFill="1" applyAlignment="1" applyProtection="1">
      <alignment horizontal="center" vertical="center"/>
      <protection locked="0"/>
    </xf>
    <xf numFmtId="44" fontId="0" fillId="5" borderId="0" xfId="5" applyFont="1" applyFill="1" applyAlignment="1" applyProtection="1">
      <alignment horizontal="center" vertical="center"/>
      <protection locked="0"/>
    </xf>
    <xf numFmtId="44" fontId="0" fillId="0" borderId="0" xfId="5" applyFont="1" applyAlignment="1">
      <alignment horizontal="center" vertical="center"/>
    </xf>
    <xf numFmtId="43" fontId="0" fillId="5" borderId="0" xfId="4" applyFont="1" applyFill="1" applyAlignment="1" applyProtection="1">
      <alignment horizontal="center" vertical="center"/>
      <protection locked="0"/>
    </xf>
    <xf numFmtId="166" fontId="2" fillId="5" borderId="0" xfId="6" applyNumberFormat="1" applyFont="1" applyFill="1" applyAlignment="1" applyProtection="1">
      <alignment horizontal="center" vertical="center"/>
      <protection locked="0"/>
    </xf>
    <xf numFmtId="43" fontId="0" fillId="5" borderId="0" xfId="4" applyNumberFormat="1" applyFont="1" applyFill="1" applyAlignment="1" applyProtection="1">
      <alignment horizontal="center" vertical="center"/>
      <protection locked="0"/>
    </xf>
    <xf numFmtId="43" fontId="0" fillId="0" borderId="0" xfId="4" applyNumberFormat="1" applyFont="1" applyAlignment="1">
      <alignment horizontal="center" vertical="center"/>
    </xf>
    <xf numFmtId="49" fontId="2" fillId="5" borderId="0" xfId="6" applyNumberFormat="1" applyFont="1" applyFill="1" applyAlignment="1" applyProtection="1">
      <alignment horizontal="center" vertical="center"/>
      <protection locked="0"/>
    </xf>
    <xf numFmtId="2" fontId="0" fillId="5" borderId="0" xfId="4" applyNumberFormat="1" applyFont="1" applyFill="1" applyAlignment="1" applyProtection="1">
      <alignment horizontal="center" vertical="center"/>
      <protection locked="0"/>
    </xf>
    <xf numFmtId="2" fontId="2" fillId="5" borderId="0" xfId="6" applyNumberFormat="1" applyFont="1" applyFill="1" applyAlignment="1" applyProtection="1">
      <alignment horizontal="center" vertical="center"/>
      <protection locked="0"/>
    </xf>
    <xf numFmtId="2" fontId="0" fillId="0" borderId="0" xfId="6" applyNumberFormat="1" applyFont="1" applyAlignment="1">
      <alignment horizontal="center" vertical="center"/>
    </xf>
    <xf numFmtId="2" fontId="0" fillId="0" borderId="0" xfId="4" applyNumberFormat="1" applyFont="1" applyAlignment="1">
      <alignment horizontal="center" vertical="center"/>
    </xf>
    <xf numFmtId="2" fontId="0" fillId="10" borderId="0" xfId="6" applyNumberFormat="1" applyFont="1" applyFill="1" applyAlignment="1" applyProtection="1">
      <alignment horizontal="center" vertical="center"/>
      <protection locked="0"/>
    </xf>
    <xf numFmtId="2" fontId="2" fillId="10" borderId="0" xfId="6" applyNumberFormat="1" applyFont="1" applyFill="1" applyAlignment="1" applyProtection="1">
      <alignment horizontal="center" vertical="center"/>
      <protection locked="0"/>
    </xf>
    <xf numFmtId="2" fontId="0" fillId="10" borderId="0" xfId="4" applyNumberFormat="1" applyFont="1" applyFill="1" applyAlignment="1" applyProtection="1">
      <alignment horizontal="center" vertical="center"/>
      <protection locked="0"/>
    </xf>
    <xf numFmtId="2" fontId="2" fillId="10" borderId="0" xfId="4" applyNumberFormat="1" applyFont="1" applyFill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</cellXfs>
  <cellStyles count="8">
    <cellStyle name="Excel Built-in Normal" xfId="7"/>
    <cellStyle name="Lien hypertexte" xfId="1" builtinId="8"/>
    <cellStyle name="Milliers" xfId="4" builtinId="3"/>
    <cellStyle name="Monétaire" xfId="5" builtinId="4"/>
    <cellStyle name="Normal" xfId="0" builtinId="0"/>
    <cellStyle name="Normal 2" xfId="2"/>
    <cellStyle name="Normal 3" xfId="3"/>
    <cellStyle name="Pourcentage" xfId="6" builtinId="5"/>
  </cellStyles>
  <dxfs count="297"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gradientFill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gradientFill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gradientFill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gradientFill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numFmt numFmtId="14" formatCode="0.00%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\ _€_-;\-* #,##0.0000\ _€_-;_-* &quot;-&quot;??\ _€_-;_-@_-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vertical="center" textRotation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* #,##0.00\ &quot;€&quot;_-;\-* #,##0.00\ &quot;€&quot;_-;_-* &quot;-&quot;??\ &quot;€&quot;_-;_-@_-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4" formatCode="0.00%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4" formatCode="0.00%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2" formatCode="0.00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4" formatCode="0.00%"/>
      <alignment vertical="center" textRotation="0" indent="0" justifyLastLine="0" shrinkToFit="0" readingOrder="0"/>
    </dxf>
    <dxf>
      <numFmt numFmtId="2" formatCode="0.00"/>
      <alignment vertical="center" textRotation="0" indent="0" justifyLastLine="0" shrinkToFit="0" readingOrder="0"/>
    </dxf>
    <dxf>
      <numFmt numFmtId="34" formatCode="_-* #,##0.00\ &quot;€&quot;_-;\-* #,##0.00\ &quot;€&quot;_-;_-* &quot;-&quot;??\ &quot;€&quot;_-;_-@_-"/>
      <alignment vertical="center" textRotation="0" indent="0" justifyLastLine="0" shrinkToFit="0" readingOrder="0"/>
    </dxf>
    <dxf>
      <numFmt numFmtId="2" formatCode="0.00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vertical="center" textRotation="0" indent="0" justifyLastLine="0" shrinkToFit="0" readingOrder="0"/>
    </dxf>
    <dxf>
      <numFmt numFmtId="19" formatCode="dd/mm/yyyy"/>
      <alignment vertical="center" textRotation="0" indent="0" justifyLastLine="0" shrinkToFit="0" readingOrder="0"/>
    </dxf>
    <dxf>
      <numFmt numFmtId="19" formatCode="dd/mm/yyyy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4" formatCode="0.00%"/>
      <alignment vertical="center" textRotation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vertical="center" textRotation="0" indent="0" justifyLastLine="0" shrinkToFit="0" readingOrder="0"/>
    </dxf>
    <dxf>
      <numFmt numFmtId="2" formatCode="0.00"/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vertical="center" textRotation="0" indent="0" justifyLastLine="0" shrinkToFit="0" readingOrder="0"/>
    </dxf>
    <dxf>
      <numFmt numFmtId="19" formatCode="dd/mm/yyyy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gradientFill degree="45">
          <stop position="0">
            <color theme="0"/>
          </stop>
          <stop position="1">
            <color rgb="FF92D050"/>
          </stop>
        </gradient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</dxf>
    <dxf>
      <numFmt numFmtId="2" formatCode="0.00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4" formatCode="0.00%"/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vertical="center" textRotation="0" indent="0" justifyLastLine="0" shrinkToFit="0" readingOrder="0"/>
    </dxf>
    <dxf>
      <numFmt numFmtId="19" formatCode="dd/mm/yyyy"/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2" formatCode="0.00"/>
      <alignment vertical="center" textRotation="0" indent="0" justifyLastLine="0" shrinkToFit="0" readingOrder="0"/>
    </dxf>
    <dxf>
      <numFmt numFmtId="34" formatCode="_-* #,##0.00\ &quot;€&quot;_-;\-* #,##0.00\ &quot;€&quot;_-;_-* &quot;-&quot;??\ &quot;€&quot;_-;_-@_-"/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14" formatCode="0.00%"/>
      <alignment vertical="center" textRotation="0" indent="0" justifyLastLine="0" shrinkToFit="0" readingOrder="0"/>
    </dxf>
    <dxf>
      <numFmt numFmtId="2" formatCode="0.00"/>
      <alignment vertical="center" textRotation="0" indent="0" justifyLastLine="0" shrinkToFit="0" readingOrder="0"/>
    </dxf>
    <dxf>
      <numFmt numFmtId="34" formatCode="_-* #,##0.00\ &quot;€&quot;_-;\-* #,##0.00\ &quot;€&quot;_-;_-* &quot;-&quot;??\ &quot;€&quot;_-;_-@_-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ill>
        <gradientFill degree="45">
          <stop position="0">
            <color theme="0"/>
          </stop>
          <stop position="1">
            <color rgb="FF92D050"/>
          </stop>
        </gradient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numFmt numFmtId="30" formatCode="@"/>
      <fill>
        <patternFill patternType="solid">
          <fgColor indexed="64"/>
          <bgColor theme="5" tint="0.39997558519241921"/>
        </patternFill>
      </fill>
      <alignment horizontal="general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numFmt numFmtId="19" formatCode="dd/mm/yyyy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11205</xdr:colOff>
      <xdr:row>0</xdr:row>
      <xdr:rowOff>44823</xdr:rowOff>
    </xdr:from>
    <xdr:to>
      <xdr:col>1</xdr:col>
      <xdr:colOff>1221440</xdr:colOff>
      <xdr:row>0</xdr:row>
      <xdr:rowOff>336175</xdr:rowOff>
    </xdr:to>
    <xdr:sp macro="[0]!retour_accue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428999" y="44823"/>
          <a:ext cx="1210235" cy="291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100"/>
            <a:t>Accueil</a:t>
          </a:r>
        </a:p>
      </xdr:txBody>
    </xdr:sp>
    <xdr:clientData/>
  </xdr:twoCellAnchor>
  <xdr:twoCellAnchor editAs="oneCell">
    <xdr:from>
      <xdr:col>0</xdr:col>
      <xdr:colOff>1333500</xdr:colOff>
      <xdr:row>4</xdr:row>
      <xdr:rowOff>171450</xdr:rowOff>
    </xdr:from>
    <xdr:to>
      <xdr:col>0</xdr:col>
      <xdr:colOff>3105150</xdr:colOff>
      <xdr:row>4</xdr:row>
      <xdr:rowOff>581025</xdr:rowOff>
    </xdr:to>
    <xdr:sp macro="" textlink="">
      <xdr:nvSpPr>
        <xdr:cNvPr id="12289" name="maj_bdd_AV" hidden="1">
          <a:extLst>
            <a:ext uri="{63B3BB69-23CF-44E3-9099-C40C66FF867C}">
              <a14:compatExt xmlns:a14="http://schemas.microsoft.com/office/drawing/2010/main" spid="_x0000_s12289"/>
            </a:ex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1333500</xdr:colOff>
      <xdr:row>4</xdr:row>
      <xdr:rowOff>171450</xdr:rowOff>
    </xdr:from>
    <xdr:to>
      <xdr:col>0</xdr:col>
      <xdr:colOff>3105150</xdr:colOff>
      <xdr:row>4</xdr:row>
      <xdr:rowOff>581025</xdr:rowOff>
    </xdr:to>
    <xdr:pic>
      <xdr:nvPicPr>
        <xdr:cNvPr id="3" name="maj_bdd_AV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1362075"/>
          <a:ext cx="1771650" cy="4095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1</xdr:rowOff>
    </xdr:from>
    <xdr:to>
      <xdr:col>0</xdr:col>
      <xdr:colOff>1190626</xdr:colOff>
      <xdr:row>0</xdr:row>
      <xdr:rowOff>257175</xdr:rowOff>
    </xdr:to>
    <xdr:sp macro="[0]!retour_accue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" y="1"/>
          <a:ext cx="1190624" cy="257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1100"/>
            <a:t>Accueil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bout:blank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Formation"/>
      <sheetName val="Process"/>
      <sheetName val="BDD client"/>
      <sheetName val="suivi dossiers clients"/>
      <sheetName val="suivi rapports"/>
      <sheetName val="listing clients"/>
      <sheetName val="A lire"/>
      <sheetName val="suivi com"/>
      <sheetName val="DEF_OBJECTIFS"/>
      <sheetName val="objectifs vieges"/>
      <sheetName val="com filleul"/>
      <sheetName val="prospection"/>
      <sheetName val="suivi des retard"/>
      <sheetName val="projet pat-verol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B14" t="str">
            <v>SO</v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1:JA2" totalsRowShown="0" headerRowDxfId="288" dataDxfId="287">
  <autoFilter ref="A1:JA2"/>
  <sortState ref="A2:JA2">
    <sortCondition ref="A1:A2"/>
  </sortState>
  <tableColumns count="261">
    <tableColumn id="1" name="NOM" dataDxfId="286"/>
    <tableColumn id="2" name="PRENOM" dataDxfId="285"/>
    <tableColumn id="123" name="date de naissance" dataDxfId="284"/>
    <tableColumn id="122" name="téléphone" dataDxfId="283"/>
    <tableColumn id="113" name="mail" dataDxfId="282"/>
    <tableColumn id="3" name="ADRESSE" dataDxfId="281"/>
    <tableColumn id="4" name="VILLE" dataDxfId="280"/>
    <tableColumn id="5" name="CP" dataDxfId="279"/>
    <tableColumn id="159" name="Prochain point annuel" dataDxfId="278">
      <calculatedColumnFormula>IFERROR(VLOOKUP(Tableau5[[#This Row],[NOM]],Tableau4[#All],3,FALSE)+DAYS360(40179,40544,TRUE),0)</calculatedColumnFormula>
    </tableColumn>
    <tableColumn id="6" name="compte rendu" dataDxfId="277">
      <calculatedColumnFormula>#REF!</calculatedColumnFormula>
    </tableColumn>
    <tableColumn id="7" name="Titre A1a" dataDxfId="276">
      <calculatedColumnFormula>'[1]A lire'!$B$14</calculatedColumnFormula>
    </tableColumn>
    <tableColumn id="8" name="nom résidence" dataDxfId="275"/>
    <tableColumn id="125" name="adresse résidence" dataDxfId="274"/>
    <tableColumn id="9" name="N°lot" dataDxfId="273"/>
    <tableColumn id="10" name="date prev de livraison" dataDxfId="272"/>
    <tableColumn id="11" name="statut du financement" dataDxfId="271"/>
    <tableColumn id="12" name="date prévisionnelle de début de remboursement" dataDxfId="270"/>
    <tableColumn id="13" name="avancement des déblocages" dataDxfId="269"/>
    <tableColumn id="14" name="avancement du projet" dataDxfId="268"/>
    <tableColumn id="15" name="statut pack" dataDxfId="267"/>
    <tableColumn id="160" name="A1 - commentaire" dataDxfId="266"/>
    <tableColumn id="16" name="organisme prêteur et mail" dataDxfId="265"/>
    <tableColumn id="17" name="référence dossier de prêt" dataDxfId="264"/>
    <tableColumn id="18" name="accès site prêt" dataDxfId="263"/>
    <tableColumn id="124" name="notaire" dataDxfId="262"/>
    <tableColumn id="19" name="mail appels de fonds" dataDxfId="261"/>
    <tableColumn id="20" name="mail promoteur (rbst)" dataDxfId="260"/>
    <tableColumn id="21" name="coordonnées gestionnaire" dataDxfId="259"/>
    <tableColumn id="22" name="titre B1" dataDxfId="258"/>
    <tableColumn id="194" name="B1 - détenteur" dataDxfId="257"/>
    <tableColumn id="23" name="B1 - N°contrat2" dataDxfId="256"/>
    <tableColumn id="24" name="B1 - profil" dataDxfId="255"/>
    <tableColumn id="129" name="B1 - Versement initial" dataDxfId="254"/>
    <tableColumn id="25" name="B1 - Versements programmés" dataDxfId="253"/>
    <tableColumn id="195" name="B1 - commentaire de gestion" dataDxfId="252"/>
    <tableColumn id="26" name="B1 - commentaires autres" dataDxfId="251"/>
    <tableColumn id="27" name="B1 - date d'effet" dataDxfId="250"/>
    <tableColumn id="28" name="B1 - date d'évaluation du portefeuille" dataDxfId="249"/>
    <tableColumn id="29" name="B1 - somme des versements N-1" dataDxfId="248"/>
    <tableColumn id="163" name="B1 - somme des versements depuis janvier" dataDxfId="247"/>
    <tableColumn id="30" name="B1 - somme des rachats N-1" dataDxfId="246"/>
    <tableColumn id="164" name="B1 - somme des rachats depuis janvier" dataDxfId="245"/>
    <tableColumn id="31" name="B1 - valeur du contrat à date" dataDxfId="244"/>
    <tableColumn id="32" name="B1 - +/- value" dataDxfId="243">
      <calculatedColumnFormula>Tableau5[[#This Row],[B1 - valeur du contrat à date]]+Tableau5[[#This Row],[B1 - somme des rachats N-1]]+Tableau5[[#This Row],[B1 - somme des rachats depuis janvier]]-(Tableau5[[#This Row],[B1 - somme des versements N-1]]+Tableau5[[#This Row],[B1 - somme des versements depuis janvier]])</calculatedColumnFormula>
    </tableColumn>
    <tableColumn id="33" name="B1 - +/- value (%)" dataDxfId="242">
      <calculatedColumnFormula>IFERROR(((Tableau5[[#This Row],[B1 - valeur du contrat à date]]+Tableau5[[#This Row],[B1 - somme des rachats N-1]]+Tableau5[[#This Row],[B1 - somme des rachats depuis janvier]])/(Tableau5[[#This Row],[B1 - somme des versements N-1]]+Tableau5[[#This Row],[B1 - somme des versements depuis janvier]])-1)*100,0)</calculatedColumnFormula>
    </tableColumn>
    <tableColumn id="34" name="B1 - frais de versements" dataDxfId="241" dataCellStyle="Pourcentage"/>
    <tableColumn id="35" name="B1 - Etat N-6" dataDxfId="240">
      <calculatedColumnFormula>Tableau5[[#This Row],[B1 - somme des versements N-1]]*(1-Tableau5[[#This Row],[B1 - frais de versements]])</calculatedColumnFormula>
    </tableColumn>
    <tableColumn id="36" name="B1 - Perf N-6" dataDxfId="239"/>
    <tableColumn id="149" name="B1 - Etat N-5" dataDxfId="238"/>
    <tableColumn id="150" name="B1 - Perf N-5" dataDxfId="237"/>
    <tableColumn id="37" name="B1 - Etat N-4" dataDxfId="236">
      <calculatedColumnFormula>Tableau5[[#This Row],[B1 - valeur du contrat à date]]+Tableau5[[#This Row],[B1 - somme des rachats N-1]]-Tableau5[[#This Row],[B1 - Perf N-6]]-Tableau5[[#This Row],[B1 - Perf N-5]]</calculatedColumnFormula>
    </tableColumn>
    <tableColumn id="38" name="B1 - Perf N-4" dataDxfId="235">
      <calculatedColumnFormula>IF(Tableau5[[#This Row],[B1 - Perf N-5]]&lt;&gt;"NA",((Tableau5[[#This Row],[B1 - valeur du contrat à date]]+Tableau5[[#This Row],[B1 - Etat N-5]])/(Tableau5[[#This Row],[B1 - Perf N-5]]+Tableau5[[#This Row],[B1 - Perf N-6]])-1)*100,((Tableau5[[#This Row],[B1 - valeur du contrat à date]]+Tableau5[[#This Row],[B1 - somme des rachats N-1]])/Tableau5[[#This Row],[B1 - Etat N-6]]-1)*100)</calculatedColumnFormula>
    </tableColumn>
    <tableColumn id="180" name="B1 - Etat N-3" dataDxfId="234"/>
    <tableColumn id="179" name="B1 - Perf N-3" dataDxfId="233"/>
    <tableColumn id="178" name="B1 - Etat N-2" dataDxfId="232"/>
    <tableColumn id="177" name="B1 - Perf N-2" dataDxfId="231"/>
    <tableColumn id="176" name="B1 - Etat N-1" dataDxfId="230"/>
    <tableColumn id="156" name="B1 - Perf N-1" dataDxfId="229"/>
    <tableColumn id="162" name="B1 - Etat N" dataDxfId="228">
      <calculatedColumnFormula>Tableau5[[#This Row],[B1 - valeur du contrat à date]]</calculatedColumnFormula>
    </tableColumn>
    <tableColumn id="157" name="B1 - Perf N" dataDxfId="227">
      <calculatedColumnFormula>IFERROR(IF(Tableau5[[#This Row],[B1 - Etat N-1]]&lt;&gt;"-",(Tableau5[[#This Row],[B1 - Etat N]]-(Tableau5[[#This Row],[B1 - Etat N-1]]+Tableau5[[#This Row],[B1 - somme des versements depuis janvier]]*(1-Tableau5[[#This Row],[B1 - frais de versements]])))/(Tableau5[[#This Row],[B1 - Etat N-1]]+Tableau5[[#This Row],[B1 - somme des versements depuis janvier]]*(1-Tableau5[[#This Row],[B1 - frais de versements]]))*100,Tableau5[[#This Row],[B1 - +/- value (%)]]),0)</calculatedColumnFormula>
    </tableColumn>
    <tableColumn id="42" name="titre B2" dataDxfId="226">
      <calculatedColumnFormula>'[1]A lire'!$B$14</calculatedColumnFormula>
    </tableColumn>
    <tableColumn id="192" name="B2 - détenteur" dataDxfId="225"/>
    <tableColumn id="43" name="B2 - N°contrat2" dataDxfId="224"/>
    <tableColumn id="44" name="B2 - profil" dataDxfId="223"/>
    <tableColumn id="45" name="B2 - Versement initial" dataDxfId="222"/>
    <tableColumn id="191" name="B2 - Versements programmés" dataDxfId="221"/>
    <tableColumn id="46" name="B2 - commentaire de gestion" dataDxfId="220"/>
    <tableColumn id="193" name="B2 - commentaires autres" dataDxfId="219"/>
    <tableColumn id="47" name="B2 - date d'effet" dataDxfId="218"/>
    <tableColumn id="48" name="B2 - date d'évaluation du portefeuille" dataDxfId="217"/>
    <tableColumn id="49" name="B2 - somme des versements N-1" dataDxfId="216"/>
    <tableColumn id="165" name="B2 - somme des versements depuis janvier" dataDxfId="215"/>
    <tableColumn id="50" name="B2 - somme des rachats N-1" dataDxfId="214"/>
    <tableColumn id="190" name="B2 - somme des rachats depuis janvier" dataDxfId="213"/>
    <tableColumn id="51" name="B2 - valeur du contrat à date" dataDxfId="212"/>
    <tableColumn id="52" name="B2 - +/- value" dataDxfId="211">
      <calculatedColumnFormula>Tableau5[[#This Row],[B2 - valeur du contrat à date]]+Tableau5[[#This Row],[B2 - somme des rachats N-1]]+Tableau5[[#This Row],[B2 - somme des rachats depuis janvier]]-(Tableau5[[#This Row],[B2 - somme des versements N-1]]+Tableau5[[#This Row],[B2 - somme des versements depuis janvier]])</calculatedColumnFormula>
    </tableColumn>
    <tableColumn id="53" name="B2 - +/- value (%)" dataDxfId="210">
      <calculatedColumnFormula>IFERROR(((Tableau5[[#This Row],[B2 - valeur du contrat à date]]+Tableau5[[#This Row],[B2 - somme des rachats N-1]]+Tableau5[[#This Row],[B2 - somme des rachats depuis janvier]])/(Tableau5[[#This Row],[B2 - somme des versements N-1]]+Tableau5[[#This Row],[B2 - somme des versements depuis janvier]])-1)*100,0)</calculatedColumnFormula>
    </tableColumn>
    <tableColumn id="148" name="B2 - frais de versements" dataDxfId="209" dataCellStyle="Pourcentage"/>
    <tableColumn id="183" name="B2 - Etat N-6" dataDxfId="208" dataCellStyle="Milliers"/>
    <tableColumn id="184" name="B2 - Perf N-6" dataDxfId="207" dataCellStyle="Milliers"/>
    <tableColumn id="185" name="B2 - Etat N-5" dataDxfId="206" dataCellStyle="Milliers"/>
    <tableColumn id="186" name="B2 - Perf N-5" dataDxfId="205" dataCellStyle="Milliers"/>
    <tableColumn id="187" name="B2 - Etat N-4" dataDxfId="204" dataCellStyle="Milliers"/>
    <tableColumn id="188" name="B2 - Perf N-4" dataDxfId="203" dataCellStyle="Milliers"/>
    <tableColumn id="189" name="B2 - Etat N-3" dataDxfId="202" dataCellStyle="Milliers"/>
    <tableColumn id="181" name="B2 - Perf N-3" dataDxfId="201" dataCellStyle="Milliers"/>
    <tableColumn id="182" name="B2 - Etat N-2" dataDxfId="200" dataCellStyle="Milliers"/>
    <tableColumn id="54" name="B2 - Perf N-2" dataDxfId="199"/>
    <tableColumn id="55" name="B2 - Etat N-1" dataDxfId="198"/>
    <tableColumn id="56" name="B2 - Perf N-1" dataDxfId="197"/>
    <tableColumn id="57" name="B2 - Etat N" dataDxfId="196">
      <calculatedColumnFormula>Tableau5[[#This Row],[B2 - valeur du contrat à date]]</calculatedColumnFormula>
    </tableColumn>
    <tableColumn id="58" name="B2 - Perf N" dataDxfId="195">
      <calculatedColumnFormula>IFERROR(IF(Tableau5[[#This Row],[B2 - Etat N-1]]&lt;&gt;"-",(Tableau5[[#This Row],[B2 - Etat N]]-(Tableau5[[#This Row],[B2 - Etat N-1]]+Tableau5[[#This Row],[B2 - somme des versements depuis janvier]]*(1-Tableau5[[#This Row],[B2 - frais de versements]])))/(Tableau5[[#This Row],[B2 - Etat N-1]]+Tableau5[[#This Row],[B2 - somme des versements depuis janvier]]*(1-Tableau5[[#This Row],[B2 - frais de versements]]))*100,Tableau5[[#This Row],[B2 - +/- value (%)]]),0)</calculatedColumnFormula>
    </tableColumn>
    <tableColumn id="62" name="titre B3" dataDxfId="194"/>
    <tableColumn id="174" name="B3 - détenteur" dataDxfId="193"/>
    <tableColumn id="63" name="B3 - N°contrat2" dataDxfId="192"/>
    <tableColumn id="64" name="B3 - profil" dataDxfId="191"/>
    <tableColumn id="126" name="B3 - Versement initial" dataDxfId="190"/>
    <tableColumn id="65" name="B3 - Versements programmés" dataDxfId="189"/>
    <tableColumn id="175" name="B3 - commentaire de gestion" dataDxfId="188"/>
    <tableColumn id="66" name="B3 - commentaires autres" dataDxfId="187"/>
    <tableColumn id="67" name="B3 - date d'effet" dataDxfId="186"/>
    <tableColumn id="68" name="B3 - date d'évaluation du portefeuille" dataDxfId="185"/>
    <tableColumn id="69" name="B3 - somme des versements N-1" dataDxfId="184"/>
    <tableColumn id="216" name="B3 - somme des versements depuis janvier" dataDxfId="183"/>
    <tableColumn id="70" name="B3 - somme des rachats N-1" dataDxfId="182"/>
    <tableColumn id="217" name="B3 - somme des rachats depuis janvier" dataDxfId="181"/>
    <tableColumn id="71" name="B3 - valeur du contrat à date" dataDxfId="180"/>
    <tableColumn id="72" name="B3 - +/- value" dataDxfId="179">
      <calculatedColumnFormula>Tableau5[[#This Row],[B3 - valeur du contrat à date]]+Tableau5[[#This Row],[B3 - somme des rachats N-1]]+Tableau5[[#This Row],[B3 - somme des rachats depuis janvier]]-(Tableau5[[#This Row],[B3 - somme des versements N-1]]+Tableau5[[#This Row],[B3 - somme des versements depuis janvier]])</calculatedColumnFormula>
    </tableColumn>
    <tableColumn id="73" name="B3 - +/- value (%)" dataDxfId="178">
      <calculatedColumnFormula>IFERROR(((Tableau5[[#This Row],[B3 - valeur du contrat à date]]+Tableau5[[#This Row],[B3 - somme des rachats N-1]]+Tableau5[[#This Row],[B3 - somme des rachats depuis janvier]])/(Tableau5[[#This Row],[B3 - somme des versements N-1]]+Tableau5[[#This Row],[B3 - somme des versements depuis janvier]])-1)*100,0)</calculatedColumnFormula>
    </tableColumn>
    <tableColumn id="74" name="B3 - frais de versements" dataDxfId="177" dataCellStyle="Pourcentage"/>
    <tableColumn id="75" name="B3 - Etat N-6" dataDxfId="176"/>
    <tableColumn id="76" name="B3 - Perf N-6" dataDxfId="175"/>
    <tableColumn id="77" name="B3 - Etat N-5" dataDxfId="174"/>
    <tableColumn id="78" name="B3 - Perf N-5" dataDxfId="173"/>
    <tableColumn id="79" name="B3 - Etat N-4" dataDxfId="172"/>
    <tableColumn id="80" name="B3 - Perf N-4" dataDxfId="171"/>
    <tableColumn id="166" name="B3 - Etat N-3" dataDxfId="170"/>
    <tableColumn id="167" name="B3 - Perf N-3" dataDxfId="169"/>
    <tableColumn id="169" name="B3 - Etat N-2" dataDxfId="168"/>
    <tableColumn id="168" name="B3 - Perf N-2" dataDxfId="167"/>
    <tableColumn id="171" name="B3 - Etat N-1" dataDxfId="166"/>
    <tableColumn id="170" name="B3 - Perf N-1" dataDxfId="165"/>
    <tableColumn id="172" name="B3 - Etat N" dataDxfId="164">
      <calculatedColumnFormula>Tableau5[[#This Row],[B3 - valeur du contrat à date]]</calculatedColumnFormula>
    </tableColumn>
    <tableColumn id="173" name="B3 - Perf N" dataDxfId="163">
      <calculatedColumnFormula>IFERROR(IF(Tableau5[[#This Row],[B3 - Etat N-1]]&lt;&gt;"-",(Tableau5[[#This Row],[B3 - Etat N]]-(Tableau5[[#This Row],[B3 - Etat N-1]]+Tableau5[[#This Row],[B3 - somme des versements depuis janvier]]*(1-Tableau5[[#This Row],[B3 - frais de versements]])))/(Tableau5[[#This Row],[B3 - Etat N-1]]+Tableau5[[#This Row],[B3 - somme des versements depuis janvier]]*(1-Tableau5[[#This Row],[B3 - frais de versements]]))*100,Tableau5[[#This Row],[B3 - +/- value (%)]]),0)</calculatedColumnFormula>
    </tableColumn>
    <tableColumn id="82" name="titre B4" dataDxfId="162">
      <calculatedColumnFormula>'[1]A lire'!$B$14</calculatedColumnFormula>
    </tableColumn>
    <tableColumn id="196" name="B4 - détenteur" dataDxfId="161"/>
    <tableColumn id="83" name="B4 - N°contrat2" dataDxfId="160"/>
    <tableColumn id="84" name="B4 - profil" dataDxfId="159"/>
    <tableColumn id="154" name="B4 - Versement initial" dataDxfId="158"/>
    <tableColumn id="85" name="B4 - Versements programmés" dataDxfId="157"/>
    <tableColumn id="197" name="B4 - commentaire de gestion" dataDxfId="156"/>
    <tableColumn id="86" name="B4 - commentaires autres" dataDxfId="155"/>
    <tableColumn id="87" name="B4 - date d'effet" dataDxfId="154"/>
    <tableColumn id="88" name="B4 - date d'évaluation du portefeuille" dataDxfId="153"/>
    <tableColumn id="89" name="B4 - somme des versements N-1" dataDxfId="152"/>
    <tableColumn id="218" name="B4 - somme des versements depuis janvier" dataDxfId="151"/>
    <tableColumn id="90" name="B4 - somme des rachats N-1" dataDxfId="150"/>
    <tableColumn id="219" name="B4 - somme des rachats depuis janvier" dataDxfId="149"/>
    <tableColumn id="91" name="B4 - valeur du contrat à date" dataDxfId="148"/>
    <tableColumn id="92" name="B4 - +/- value" dataDxfId="147">
      <calculatedColumnFormula>Tableau5[[#This Row],[B4 - valeur du contrat à date]]+Tableau5[[#This Row],[B4 - somme des rachats N-1]]+Tableau5[[#This Row],[B4 - somme des rachats depuis janvier]]-(Tableau5[[#This Row],[B4 - somme des versements N-1]]+Tableau5[[#This Row],[B4 - somme des versements depuis janvier]])</calculatedColumnFormula>
    </tableColumn>
    <tableColumn id="93" name="B4 - +/- value (%)" dataDxfId="146">
      <calculatedColumnFormula>IFERROR(((Tableau5[[#This Row],[B4 - valeur du contrat à date]]+Tableau5[[#This Row],[B4 - somme des rachats N-1]]+Tableau5[[#This Row],[B4 - somme des rachats depuis janvier]])/(Tableau5[[#This Row],[B4 - somme des versements N-1]]+Tableau5[[#This Row],[B4 - somme des versements depuis janvier]])-1)*100,0)</calculatedColumnFormula>
    </tableColumn>
    <tableColumn id="94" name="B4 - frais de versements" dataDxfId="145" dataCellStyle="Pourcentage"/>
    <tableColumn id="95" name="B4 - Etat N-6" dataDxfId="144"/>
    <tableColumn id="198" name="B4 - Perf N-6" dataDxfId="143"/>
    <tableColumn id="199" name="B4 - Etat N-5" dataDxfId="142"/>
    <tableColumn id="203" name="B4 - Perf N-5" dataDxfId="141"/>
    <tableColumn id="204" name="B4 - Etat N-4" dataDxfId="140"/>
    <tableColumn id="205" name="B4 - Perf N-4" dataDxfId="139"/>
    <tableColumn id="200" name="B4 - Etat N-3" dataDxfId="138"/>
    <tableColumn id="201" name="B4 - Perf N-3" dataDxfId="137"/>
    <tableColumn id="202" name="B4 - Etat N-2" dataDxfId="136"/>
    <tableColumn id="96" name="B4 - Perf N-2" dataDxfId="135"/>
    <tableColumn id="97" name="B4 - Etat N-1" dataDxfId="134"/>
    <tableColumn id="98" name="B4 - Perf N-1" dataDxfId="133"/>
    <tableColumn id="99" name="B4 - Etat N" dataDxfId="132">
      <calculatedColumnFormula>Tableau5[[#This Row],[B4 - valeur du contrat à date]]</calculatedColumnFormula>
    </tableColumn>
    <tableColumn id="100" name="B4 - Perf N" dataDxfId="131">
      <calculatedColumnFormula>IFERROR(IF(Tableau5[[#This Row],[B4 - Etat N-1]]&lt;&gt;"-",(Tableau5[[#This Row],[B4 - Etat N]]-(Tableau5[[#This Row],[B4 - Etat N-1]]+Tableau5[[#This Row],[B4 - somme des versements depuis janvier]]*(1-Tableau5[[#This Row],[B4 - frais de versements]])))/(Tableau5[[#This Row],[B4 - Etat N-1]]+Tableau5[[#This Row],[B4 - somme des versements depuis janvier]]*(1-Tableau5[[#This Row],[B4 - frais de versements]]))*100,Tableau5[[#This Row],[B4 - +/- value (%)]]),0)</calculatedColumnFormula>
    </tableColumn>
    <tableColumn id="144" name="titre B5" dataDxfId="130"/>
    <tableColumn id="206" name="B5 - détenteur" dataDxfId="129"/>
    <tableColumn id="145" name="B5 - N°contrat2" dataDxfId="128"/>
    <tableColumn id="146" name="B5 - profil" dataDxfId="127"/>
    <tableColumn id="155" name="B5 - Versement initial" dataDxfId="126"/>
    <tableColumn id="147" name="B5 - Versements programmés" dataDxfId="125"/>
    <tableColumn id="207" name="B5 - commentaire de gestion" dataDxfId="124"/>
    <tableColumn id="136" name="B5 - commentaires autres" dataDxfId="123"/>
    <tableColumn id="137" name="B5 - date d'effet" dataDxfId="122"/>
    <tableColumn id="138" name="B5 - date d'évaluation du portefeuille" dataDxfId="121"/>
    <tableColumn id="139" name="B5 - somme des versements N-1" dataDxfId="120"/>
    <tableColumn id="221" name="B5 - somme des versements depuis janvier" dataDxfId="119"/>
    <tableColumn id="140" name="B5 - somme des rachats N-1" dataDxfId="118"/>
    <tableColumn id="220" name="B5 - somme des rachats depuis janvier" dataDxfId="117"/>
    <tableColumn id="141" name="B5 - valeur du contrat à date" dataDxfId="116"/>
    <tableColumn id="142" name="B5 - +/- value" dataDxfId="115">
      <calculatedColumnFormula>Tableau5[[#This Row],[B5 - valeur du contrat à date]]+Tableau5[[#This Row],[B5 - somme des rachats N-1]]+Tableau5[[#This Row],[B5 - somme des rachats depuis janvier]]-(Tableau5[[#This Row],[B5 - somme des versements N-1]]+Tableau5[[#This Row],[B5 - somme des versements depuis janvier]])</calculatedColumnFormula>
    </tableColumn>
    <tableColumn id="143" name="B5 - +/- value (%)" dataDxfId="114">
      <calculatedColumnFormula>IFERROR(((Tableau5[[#This Row],[B5 - valeur du contrat à date]]+Tableau5[[#This Row],[B5 - somme des rachats N-1]]+Tableau5[[#This Row],[B5 - somme des rachats depuis janvier]])/(Tableau5[[#This Row],[B5 - somme des versements N-1]]+Tableau5[[#This Row],[B5 - somme des versements depuis janvier]])-1)*100,0)</calculatedColumnFormula>
    </tableColumn>
    <tableColumn id="215" name="B5 - frais de versements" dataDxfId="113" dataCellStyle="Pourcentage"/>
    <tableColumn id="208" name="B5 - Etat N-6" dataDxfId="112"/>
    <tableColumn id="209" name="B5 - Perf N-6" dataDxfId="111"/>
    <tableColumn id="210" name="B5 - Etat N-5" dataDxfId="110"/>
    <tableColumn id="211" name="B5 - Perf N-5" dataDxfId="109"/>
    <tableColumn id="212" name="B5 - Etat N-4" dataDxfId="108"/>
    <tableColumn id="213" name="B5 - Perf N-4" dataDxfId="107"/>
    <tableColumn id="214" name="B5 - Etat N-3" dataDxfId="106"/>
    <tableColumn id="132" name="B5 - Perf N-3" dataDxfId="105"/>
    <tableColumn id="133" name="B5 - Etat N-2" dataDxfId="104"/>
    <tableColumn id="134" name="B5 - Perf N-2" dataDxfId="103"/>
    <tableColumn id="135" name="B5 - Etat N-1" dataDxfId="102"/>
    <tableColumn id="130" name="B5 - Perf N-1" dataDxfId="101"/>
    <tableColumn id="131" name="B5 - Etat N" dataDxfId="100">
      <calculatedColumnFormula>Tableau5[[#This Row],[B5 - valeur du contrat à date]]</calculatedColumnFormula>
    </tableColumn>
    <tableColumn id="128" name="B5 - Perf N" dataDxfId="99">
      <calculatedColumnFormula>IFERROR(IF(Tableau5[[#This Row],[B5 - Etat N-1]]&lt;&gt;"-",(Tableau5[[#This Row],[B5 - Etat N]]-(Tableau5[[#This Row],[B5 - Etat N-1]]+Tableau5[[#This Row],[B5 - somme des versements depuis janvier]]*(1-Tableau5[[#This Row],[B5 - frais de versements]])))/(Tableau5[[#This Row],[B5 - Etat N-1]]+Tableau5[[#This Row],[B5 - somme des versements depuis janvier]]*(1-Tableau5[[#This Row],[B5 - frais de versements]]))*100,Tableau5[[#This Row],[B5 - +/- value (%)]]),0)</calculatedColumnFormula>
    </tableColumn>
    <tableColumn id="102" name="Titre B6" dataDxfId="98">
      <calculatedColumnFormula>'[1]A lire'!$B$14</calculatedColumnFormula>
    </tableColumn>
    <tableColumn id="161" name="B6 - scté de gestion" dataDxfId="97">
      <calculatedColumnFormula>VLOOKUP(Tableau5[[#This Row],[Titre B6]],#REF!,2,FALSE)</calculatedColumnFormula>
    </tableColumn>
    <tableColumn id="59" name="B6 - détenteur" dataDxfId="96"/>
    <tableColumn id="103" name="B6 - N°contrat" dataDxfId="95"/>
    <tableColumn id="152" name="B6 - commentaire" dataDxfId="94"/>
    <tableColumn id="104" name="B6 - Mode de détention" dataDxfId="93"/>
    <tableColumn id="105" name="B6 - Date de souscription" dataDxfId="92"/>
    <tableColumn id="106" name="B6 - Nombre de parts" dataDxfId="91"/>
    <tableColumn id="236" name="B6 - prix d'achat" dataDxfId="90"/>
    <tableColumn id="248" name="B6 - clé d'achat" dataDxfId="89" dataCellStyle="Pourcentage"/>
    <tableColumn id="247" name="B6 - montant invest" dataDxfId="88" dataCellStyle="Monétaire">
      <calculatedColumnFormula>Tableau5[[#This Row],[B6 - Nombre de parts]]*Tableau5[[#This Row],[B6 - prix d''achat]]*Tableau5[[#This Row],[B6 - clé d''achat]]</calculatedColumnFormula>
    </tableColumn>
    <tableColumn id="107" name="B6 - Date d'échéance" dataDxfId="87"/>
    <tableColumn id="108" name="B6 - date d'évaluation part SCPI" dataDxfId="86">
      <calculatedColumnFormula>VLOOKUP(Tableau5[[#This Row],[Titre B6]],#REF!,21,FALSE)</calculatedColumnFormula>
    </tableColumn>
    <tableColumn id="109" name="B6 - cours de la part" dataDxfId="85">
      <calculatedColumnFormula>VLOOKUP(Tableau5[[#This Row],[Titre B6]],#REF!,19,FALSE)</calculatedColumnFormula>
    </tableColumn>
    <tableColumn id="110" name="B6 - valeur de rachat" dataDxfId="84">
      <calculatedColumnFormula>Tableau5[[#This Row],[B6 - Nombre de parts]]*Tableau5[[#This Row],[B6 - cours de la part]]</calculatedColumnFormula>
    </tableColumn>
    <tableColumn id="251" name="B6 - rendement annuel brut sur N-1" dataDxfId="83" dataCellStyle="Pourcentage">
      <calculatedColumnFormula>IFERROR(Tableau5[[#This Row],[B6 - distribution par part N-1]]/(Tableau5[[#This Row],[B6 - prix d''achat]]*Tableau5[[#This Row],[B6 - clé d''achat]])*100,0)</calculatedColumnFormula>
    </tableColumn>
    <tableColumn id="229" name="B6 - lien internet" dataDxfId="82">
      <calculatedColumnFormula>VLOOKUP(Tableau5[[#This Row],[Titre B6]],#REF!,3,FALSE)</calculatedColumnFormula>
    </tableColumn>
    <tableColumn id="230" name="B6 - Valeur de retrait de la part N-5" dataDxfId="81">
      <calculatedColumnFormula>VLOOKUP(Tableau5[[#This Row],[Titre B6]],#REF!,4,FALSE)</calculatedColumnFormula>
    </tableColumn>
    <tableColumn id="231" name="B6 - distribution par part N-5" dataDxfId="80" dataCellStyle="Milliers">
      <calculatedColumnFormula>VLOOKUP(Tableau5[[#This Row],[Titre B6]],#REF!,5,FALSE)</calculatedColumnFormula>
    </tableColumn>
    <tableColumn id="253" name="B6 - DVM N-5" dataDxfId="79" dataCellStyle="Pourcentage">
      <calculatedColumnFormula>VLOOKUP(Tableau5[[#This Row],[Titre B6]],#REF!,6,FALSE)*100</calculatedColumnFormula>
    </tableColumn>
    <tableColumn id="232" name="B6 - Valeur de retrait de la part N-4" dataDxfId="78">
      <calculatedColumnFormula>VLOOKUP(Tableau5[[#This Row],[Titre B6]],#REF!,7,FALSE)</calculatedColumnFormula>
    </tableColumn>
    <tableColumn id="233" name="B6 - distribution par part N-4" dataDxfId="77" dataCellStyle="Milliers">
      <calculatedColumnFormula>VLOOKUP(Tableau5[[#This Row],[Titre B6]],#REF!,8,FALSE)</calculatedColumnFormula>
    </tableColumn>
    <tableColumn id="252" name="B6 - DVM N-4" dataDxfId="76" dataCellStyle="Pourcentage">
      <calculatedColumnFormula>VLOOKUP(Tableau5[[#This Row],[Titre B6]],#REF!,9,FALSE)*100</calculatedColumnFormula>
    </tableColumn>
    <tableColumn id="226" name="B6 - Valeur de retrait de la part N-3" dataDxfId="75">
      <calculatedColumnFormula>VLOOKUP(Tableau5[[#This Row],[Titre B6]],#REF!,10,FALSE)</calculatedColumnFormula>
    </tableColumn>
    <tableColumn id="227" name="B6 -distribution par part N-3" dataDxfId="74" dataCellStyle="Milliers">
      <calculatedColumnFormula>VLOOKUP(Tableau5[[#This Row],[Titre B6]],#REF!,11,FALSE)</calculatedColumnFormula>
    </tableColumn>
    <tableColumn id="254" name="B6 -DVM N-3" dataDxfId="73" dataCellStyle="Pourcentage">
      <calculatedColumnFormula>VLOOKUP(Tableau5[[#This Row],[Titre B6]],#REF!,12,FALSE)*100</calculatedColumnFormula>
    </tableColumn>
    <tableColumn id="228" name="B6 - Valeur de retrait de la part N-2" dataDxfId="72">
      <calculatedColumnFormula>VLOOKUP(Tableau5[[#This Row],[Titre B6]],#REF!,13,FALSE)</calculatedColumnFormula>
    </tableColumn>
    <tableColumn id="234" name="B6 - distribution par part N-2" dataDxfId="71" dataCellStyle="Milliers">
      <calculatedColumnFormula>VLOOKUP(Tableau5[[#This Row],[Titre B6]],#REF!,14,FALSE)</calculatedColumnFormula>
    </tableColumn>
    <tableColumn id="255" name="B6 - DVM N-2" dataDxfId="70" dataCellStyle="Pourcentage">
      <calculatedColumnFormula>VLOOKUP(Tableau5[[#This Row],[Titre B6]],#REF!,15,FALSE)*100</calculatedColumnFormula>
    </tableColumn>
    <tableColumn id="235" name="B6 - Valeur de retrait de la part N-1" dataDxfId="69">
      <calculatedColumnFormula>VLOOKUP(Tableau5[[#This Row],[Titre B6]],#REF!,16,FALSE)</calculatedColumnFormula>
    </tableColumn>
    <tableColumn id="225" name="B6 - distribution par part N-1" dataDxfId="68" dataCellStyle="Milliers">
      <calculatedColumnFormula>VLOOKUP(Tableau5[[#This Row],[Titre B6]],#REF!,17,FALSE)</calculatedColumnFormula>
    </tableColumn>
    <tableColumn id="256" name="B6 - DVM N-1" dataDxfId="67" dataCellStyle="Pourcentage">
      <calculatedColumnFormula>VLOOKUP(Tableau5[[#This Row],[Titre B6]],#REF!,18,FALSE)*100</calculatedColumnFormula>
    </tableColumn>
    <tableColumn id="60" name="Titre B7" dataDxfId="66"/>
    <tableColumn id="158" name="B7 - scté de gestion" dataDxfId="65">
      <calculatedColumnFormula>VLOOKUP(Tableau5[[#This Row],[Titre B7]],#REF!,2,FALSE)</calculatedColumnFormula>
    </tableColumn>
    <tableColumn id="151" name="B7 - détenteur" dataDxfId="64"/>
    <tableColumn id="153" name="B7 - N°contrat" dataDxfId="63"/>
    <tableColumn id="61" name="B7 - commentaire" dataDxfId="62"/>
    <tableColumn id="81" name="B7 - Mode de détention" dataDxfId="61"/>
    <tableColumn id="101" name="B7 - Date de souscription" dataDxfId="60"/>
    <tableColumn id="40" name="B7 - Nombre de parts" dataDxfId="59"/>
    <tableColumn id="41" name="B7 - prix d'achat" dataDxfId="58"/>
    <tableColumn id="250" name="B7 - clé d'achat" dataDxfId="57" dataCellStyle="Pourcentage"/>
    <tableColumn id="249" name="B7 - montant invest" dataDxfId="56">
      <calculatedColumnFormula>Tableau5[[#This Row],[B7 - Nombre de parts]]*Tableau5[[#This Row],[B7 - prix d''achat]]*Tableau5[[#This Row],[B7 - clé d''achat]]</calculatedColumnFormula>
    </tableColumn>
    <tableColumn id="111" name="B7 - Date d'échéance" dataDxfId="55"/>
    <tableColumn id="245" name="B7 - date d'évaluation part SCPI" dataDxfId="54">
      <calculatedColumnFormula>VLOOKUP(Tableau5[[#This Row],[Titre B7]],#REF!,21,FALSE)</calculatedColumnFormula>
    </tableColumn>
    <tableColumn id="246" name="B7 - cours de la part" dataDxfId="53">
      <calculatedColumnFormula>VLOOKUP(Tableau5[[#This Row],[Titre B7]],#REF!,19,FALSE)</calculatedColumnFormula>
    </tableColumn>
    <tableColumn id="241" name="B7 - valeur de rachat" dataDxfId="52">
      <calculatedColumnFormula>Tableau5[[#This Row],[B7 - Nombre de parts]]*Tableau5[[#This Row],[B7 - cours de la part]]</calculatedColumnFormula>
    </tableColumn>
    <tableColumn id="257" name="B7 - rendement annuel brut sur N-1" dataDxfId="51" dataCellStyle="Pourcentage">
      <calculatedColumnFormula>IFERROR(Tableau5[[#This Row],[B7 - distribution par part N-1]]/(Tableau5[[#This Row],[B7 - prix d''achat]]*Tableau5[[#This Row],[B7 - clé d''achat]])*100,0)</calculatedColumnFormula>
    </tableColumn>
    <tableColumn id="242" name="B7 - lien internet" dataDxfId="50">
      <calculatedColumnFormula>VLOOKUP(Tableau5[[#This Row],[Titre B7]],#REF!,3,FALSE)</calculatedColumnFormula>
    </tableColumn>
    <tableColumn id="243" name="B7 - Valeur de retrait de la part N-5" dataDxfId="49">
      <calculatedColumnFormula>VLOOKUP(Tableau5[[#This Row],[Titre B7]],#REF!,4,FALSE)</calculatedColumnFormula>
    </tableColumn>
    <tableColumn id="258" name="B7 - distribution par part N-5" dataDxfId="48">
      <calculatedColumnFormula>VLOOKUP(Tableau5[[#This Row],[Titre B7]],#REF!,5,FALSE)</calculatedColumnFormula>
    </tableColumn>
    <tableColumn id="244" name="B7 - DVM N-5" dataDxfId="47" dataCellStyle="Pourcentage">
      <calculatedColumnFormula>VLOOKUP(Tableau5[[#This Row],[Titre B7]],#REF!,6,FALSE)*100</calculatedColumnFormula>
    </tableColumn>
    <tableColumn id="237" name="B7 - Valeur de retrait de la part N-4" dataDxfId="46">
      <calculatedColumnFormula>VLOOKUP(Tableau5[[#This Row],[Titre B7]],#REF!,7,FALSE)</calculatedColumnFormula>
    </tableColumn>
    <tableColumn id="259" name="B7 - distribution par part N-4" dataDxfId="45">
      <calculatedColumnFormula>VLOOKUP(Tableau5[[#This Row],[Titre B7]],#REF!,8,FALSE)</calculatedColumnFormula>
    </tableColumn>
    <tableColumn id="238" name="B7 - DVM N-4" dataDxfId="44" dataCellStyle="Milliers">
      <calculatedColumnFormula>VLOOKUP(Tableau5[[#This Row],[Titre B7]],#REF!,9,FALSE)*100</calculatedColumnFormula>
    </tableColumn>
    <tableColumn id="239" name="B7 - Valeur de retrait de la part N-3" dataDxfId="43">
      <calculatedColumnFormula>VLOOKUP(Tableau5[[#This Row],[Titre B7]],#REF!,10,FALSE)</calculatedColumnFormula>
    </tableColumn>
    <tableColumn id="260" name="B7 -distribution par part N-3" dataDxfId="42">
      <calculatedColumnFormula>VLOOKUP(Tableau5[[#This Row],[Titre B7]],#REF!,11,FALSE)</calculatedColumnFormula>
    </tableColumn>
    <tableColumn id="240" name="B7 -DVM N-3" dataDxfId="41" dataCellStyle="Pourcentage">
      <calculatedColumnFormula>VLOOKUP(Tableau5[[#This Row],[Titre B7]],#REF!,12,FALSE)*100</calculatedColumnFormula>
    </tableColumn>
    <tableColumn id="224" name="B7 - Valeur de retrait de la part N-2" dataDxfId="40">
      <calculatedColumnFormula>VLOOKUP(Tableau5[[#This Row],[Titre B7]],#REF!,13,FALSE)</calculatedColumnFormula>
    </tableColumn>
    <tableColumn id="261" name="B7 - distribution par part N-2" dataDxfId="39">
      <calculatedColumnFormula>VLOOKUP(Tableau5[[#This Row],[Titre B7]],#REF!,14,FALSE)</calculatedColumnFormula>
    </tableColumn>
    <tableColumn id="223" name="B7 - DVM N-2" dataDxfId="38" dataCellStyle="Pourcentage">
      <calculatedColumnFormula>VLOOKUP(Tableau5[[#This Row],[Titre B7]],#REF!,15,FALSE)*100</calculatedColumnFormula>
    </tableColumn>
    <tableColumn id="222" name="B7 - Valeur de retrait de la part N-1" dataDxfId="37">
      <calculatedColumnFormula>VLOOKUP(Tableau5[[#This Row],[Titre B7]],#REF!,16,FALSE)</calculatedColumnFormula>
    </tableColumn>
    <tableColumn id="262" name="B7 - distribution par part N-1" dataDxfId="36">
      <calculatedColumnFormula>VLOOKUP(Tableau5[[#This Row],[Titre B7]],#REF!,17,FALSE)</calculatedColumnFormula>
    </tableColumn>
    <tableColumn id="39" name="B7 - DVM N-1" dataDxfId="35" dataCellStyle="Pourcentage">
      <calculatedColumnFormula>VLOOKUP(Tableau5[[#This Row],[Titre B7]],#REF!,18,FALSE)*100</calculatedColumnFormula>
    </tableColumn>
    <tableColumn id="112" name="analyse du marché" dataDxfId="34">
      <calculatedColumnFormula>#REF!</calculatedColumnFormula>
    </tableColumn>
    <tableColumn id="114" name="titre preco restante 1" dataDxfId="33"/>
    <tableColumn id="115" name="preco restante 1" dataDxfId="32"/>
    <tableColumn id="116" name="titre preco restante 2" dataDxfId="31"/>
    <tableColumn id="117" name="preco restante 2" dataDxfId="30"/>
    <tableColumn id="118" name="titre preco restante 3" dataDxfId="29"/>
    <tableColumn id="119" name="preco restante 3" dataDxfId="28"/>
    <tableColumn id="120" name="titre preco restante 4" dataDxfId="27"/>
    <tableColumn id="121" name="preco restante 4" dataDxfId="2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A6:P7" totalsRowShown="0" headerRowDxfId="23" dataDxfId="22">
  <autoFilter ref="A6:P7"/>
  <sortState ref="A7:P7">
    <sortCondition ref="A6:A7"/>
  </sortState>
  <tableColumns count="16">
    <tableColumn id="1" name="Nom" dataDxfId="21"/>
    <tableColumn id="2" name="date de R2" dataDxfId="20"/>
    <tableColumn id="3" name="suivi 1er trimestre / annuel_x000a_Mars" dataDxfId="19"/>
    <tableColumn id="4" name="suivi 2eme trimestre_x000a_Juin" dataDxfId="18"/>
    <tableColumn id="5" name="suivi 3eme trimestre_x000a_Septembre" dataDxfId="17"/>
    <tableColumn id="6" name="suivi 4eme trimestre_x000a_Décembre" dataDxfId="16"/>
    <tableColumn id="7" name="commentaires 2017" dataDxfId="15"/>
    <tableColumn id="8" name="suivi 1er quadrimestre / annuel_x000a_Fin Mars 2018" dataDxfId="14"/>
    <tableColumn id="9" name="suivi 2eme quadrimestre_x000a_Aout 2018" dataDxfId="13"/>
    <tableColumn id="10" name="suivi 3eme quadrimestre_x000a_Decembre 2018" dataDxfId="12"/>
    <tableColumn id="12" name="commentaires 2018" dataDxfId="11"/>
    <tableColumn id="11" name="suivi 1er quadrimestre / annuel_x000a_Fin Avril" dataDxfId="10"/>
    <tableColumn id="13" name="suivi 2eme trimestre_x000a_juin 2019" dataDxfId="9"/>
    <tableColumn id="14" name="suivi 3eme trimestre_x000a_oct 2019" dataDxfId="8"/>
    <tableColumn id="16" name="suivi 4eme trimestre_x000a_janvier" dataDxfId="7"/>
    <tableColumn id="15" name="commentaires 2019" dataDxfId="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A3:C4" totalsRowShown="0" headerRowDxfId="4" dataDxfId="3">
  <autoFilter ref="A3:C4"/>
  <sortState ref="A4:C4">
    <sortCondition ref="A3:A4"/>
  </sortState>
  <tableColumns count="3">
    <tableColumn id="1" name="NOM" dataDxfId="2"/>
    <tableColumn id="2" name="prénom" dataDxfId="1"/>
    <tableColumn id="3" name="dernier entretien de suivi" dataDxfId="0">
      <calculatedColumnFormula array="1">VLOOKUP(Tableau4[[#This Row],[NOM]],#REF!,6,TRUE)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JA8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Z2" sqref="IZ2"/>
    </sheetView>
  </sheetViews>
  <sheetFormatPr baseColWidth="10" defaultRowHeight="69.75" customHeight="1" outlineLevelCol="1" x14ac:dyDescent="0.25"/>
  <cols>
    <col min="1" max="1" width="25.85546875" style="1" bestFit="1" customWidth="1"/>
    <col min="2" max="2" width="24.85546875" style="1" bestFit="1" customWidth="1"/>
    <col min="3" max="3" width="31.140625" style="1" hidden="1" customWidth="1" outlineLevel="1"/>
    <col min="4" max="4" width="43.85546875" style="1" hidden="1" customWidth="1" outlineLevel="1"/>
    <col min="5" max="5" width="60.5703125" style="1" hidden="1" customWidth="1" outlineLevel="1"/>
    <col min="6" max="6" width="34.42578125" style="1" hidden="1" customWidth="1" outlineLevel="1"/>
    <col min="7" max="7" width="28.5703125" style="1" hidden="1" customWidth="1" outlineLevel="1"/>
    <col min="8" max="8" width="11.5703125" style="1" hidden="1" customWidth="1" outlineLevel="1"/>
    <col min="9" max="9" width="25.140625" style="11" hidden="1" customWidth="1" outlineLevel="1"/>
    <col min="10" max="10" width="24.42578125" style="1" bestFit="1" customWidth="1" collapsed="1"/>
    <col min="11" max="11" width="35.5703125" style="36" bestFit="1" customWidth="1"/>
    <col min="12" max="12" width="36.7109375" style="76" hidden="1" customWidth="1" outlineLevel="1"/>
    <col min="13" max="13" width="44" style="36" hidden="1" customWidth="1" outlineLevel="1"/>
    <col min="14" max="14" width="13.42578125" style="36" hidden="1" customWidth="1" outlineLevel="1"/>
    <col min="15" max="15" width="35.42578125" style="11" hidden="1" customWidth="1" outlineLevel="1"/>
    <col min="16" max="16" width="33.42578125" style="36" hidden="1" customWidth="1" outlineLevel="1"/>
    <col min="17" max="17" width="49.7109375" style="36" hidden="1" customWidth="1" outlineLevel="1"/>
    <col min="18" max="18" width="41.140625" style="36" hidden="1" customWidth="1" outlineLevel="1"/>
    <col min="19" max="19" width="33.140625" style="36" hidden="1" customWidth="1" outlineLevel="1"/>
    <col min="20" max="20" width="49" style="76" hidden="1" customWidth="1" outlineLevel="1"/>
    <col min="21" max="21" width="66" style="76" hidden="1" customWidth="1" outlineLevel="1"/>
    <col min="22" max="22" width="28.85546875" style="36" hidden="1" customWidth="1" outlineLevel="1"/>
    <col min="23" max="23" width="36.85546875" style="36" hidden="1" customWidth="1" outlineLevel="1"/>
    <col min="24" max="24" width="24.85546875" style="36" hidden="1" customWidth="1" outlineLevel="1"/>
    <col min="25" max="25" width="62" style="36" hidden="1" customWidth="1" outlineLevel="1"/>
    <col min="26" max="27" width="31.5703125" style="36" hidden="1" customWidth="1" outlineLevel="1"/>
    <col min="28" max="28" width="42.42578125" style="1" hidden="1" customWidth="1" outlineLevel="1"/>
    <col min="29" max="29" width="38.140625" style="36" bestFit="1" customWidth="1" collapsed="1"/>
    <col min="30" max="30" width="38.140625" style="36" customWidth="1"/>
    <col min="31" max="31" width="30.85546875" style="36" hidden="1" customWidth="1" outlineLevel="1"/>
    <col min="32" max="32" width="22.7109375" style="36" hidden="1" customWidth="1" outlineLevel="1"/>
    <col min="33" max="34" width="36" style="36" hidden="1" customWidth="1" outlineLevel="1"/>
    <col min="35" max="35" width="36" style="76" hidden="1" customWidth="1" outlineLevel="1"/>
    <col min="36" max="36" width="71.140625" style="36" hidden="1" customWidth="1" outlineLevel="1"/>
    <col min="37" max="37" width="30.28515625" style="11" hidden="1" customWidth="1" outlineLevel="1"/>
    <col min="38" max="38" width="45.28515625" style="11" hidden="1" customWidth="1" outlineLevel="1"/>
    <col min="39" max="39" width="47.140625" style="36" hidden="1" customWidth="1" outlineLevel="1"/>
    <col min="40" max="40" width="59.28515625" style="36" hidden="1" customWidth="1" outlineLevel="1"/>
    <col min="41" max="41" width="32.5703125" style="36" hidden="1" customWidth="1" outlineLevel="1"/>
    <col min="42" max="42" width="54.85546875" style="36" hidden="1" customWidth="1" outlineLevel="1"/>
    <col min="43" max="43" width="37.85546875" style="36" hidden="1" customWidth="1" outlineLevel="1"/>
    <col min="44" max="44" width="21" style="36" hidden="1" customWidth="1" outlineLevel="1"/>
    <col min="45" max="45" width="22.85546875" style="36" hidden="1" customWidth="1" outlineLevel="1"/>
    <col min="46" max="46" width="28.5703125" style="57" hidden="1" customWidth="1" outlineLevel="1"/>
    <col min="47" max="47" width="42.5703125" style="36" hidden="1" customWidth="1" outlineLevel="1"/>
    <col min="48" max="48" width="41.42578125" style="36" hidden="1" customWidth="1" outlineLevel="1"/>
    <col min="49" max="50" width="30.140625" style="36" hidden="1" customWidth="1" outlineLevel="1"/>
    <col min="51" max="51" width="47.85546875" style="36" hidden="1" customWidth="1" outlineLevel="1"/>
    <col min="52" max="58" width="27.28515625" style="36" hidden="1" customWidth="1" outlineLevel="1"/>
    <col min="59" max="59" width="24.5703125" style="36" hidden="1" customWidth="1" outlineLevel="1"/>
    <col min="60" max="60" width="17.85546875" style="36" hidden="1" customWidth="1" outlineLevel="1"/>
    <col min="61" max="61" width="44.85546875" style="36" bestFit="1" customWidth="1" collapsed="1"/>
    <col min="62" max="62" width="44.85546875" style="36" customWidth="1"/>
    <col min="63" max="63" width="22.42578125" style="36" hidden="1" customWidth="1" outlineLevel="1"/>
    <col min="64" max="64" width="17.7109375" style="36" hidden="1" customWidth="1" outlineLevel="1"/>
    <col min="65" max="66" width="60" style="36" hidden="1" customWidth="1" outlineLevel="1"/>
    <col min="67" max="68" width="70" style="36" hidden="1" customWidth="1" outlineLevel="1"/>
    <col min="69" max="69" width="24.42578125" style="44" hidden="1" customWidth="1" outlineLevel="1"/>
    <col min="70" max="70" width="48.5703125" style="44" hidden="1" customWidth="1" outlineLevel="1"/>
    <col min="71" max="72" width="43.5703125" style="36" hidden="1" customWidth="1" outlineLevel="1"/>
    <col min="73" max="74" width="33.42578125" style="36" hidden="1" customWidth="1" outlineLevel="1"/>
    <col min="75" max="75" width="38.5703125" style="36" hidden="1" customWidth="1" outlineLevel="1"/>
    <col min="76" max="76" width="21.5703125" style="36" hidden="1" customWidth="1" outlineLevel="1"/>
    <col min="77" max="77" width="25.85546875" style="1" hidden="1" customWidth="1" outlineLevel="1"/>
    <col min="78" max="78" width="42.85546875" style="57" hidden="1" customWidth="1" outlineLevel="1"/>
    <col min="79" max="80" width="26.5703125" style="36" hidden="1" customWidth="1" outlineLevel="1"/>
    <col min="81" max="82" width="26.42578125" style="36" hidden="1" customWidth="1" outlineLevel="1"/>
    <col min="83" max="88" width="26.5703125" style="36" hidden="1" customWidth="1" outlineLevel="1"/>
    <col min="89" max="90" width="26.140625" style="36" hidden="1" customWidth="1" outlineLevel="1"/>
    <col min="91" max="92" width="24" style="36" hidden="1" customWidth="1" outlineLevel="1"/>
    <col min="93" max="93" width="45.42578125" style="36" bestFit="1" customWidth="1" collapsed="1"/>
    <col min="94" max="94" width="21.140625" style="36" bestFit="1" customWidth="1"/>
    <col min="95" max="95" width="22.42578125" style="36" hidden="1" customWidth="1" outlineLevel="1"/>
    <col min="96" max="96" width="17.7109375" style="36" hidden="1" customWidth="1" outlineLevel="1"/>
    <col min="97" max="97" width="26.85546875" style="36" hidden="1" customWidth="1" outlineLevel="1"/>
    <col min="98" max="99" width="61" style="36" hidden="1" customWidth="1" outlineLevel="1"/>
    <col min="100" max="100" width="40.85546875" style="36" hidden="1" customWidth="1" outlineLevel="1"/>
    <col min="101" max="101" width="24.42578125" style="44" hidden="1" customWidth="1" outlineLevel="1"/>
    <col min="102" max="102" width="48.5703125" style="44" hidden="1" customWidth="1" outlineLevel="1"/>
    <col min="103" max="104" width="37.7109375" style="36" hidden="1" customWidth="1" outlineLevel="1"/>
    <col min="105" max="106" width="33.42578125" style="36" hidden="1" customWidth="1" outlineLevel="1"/>
    <col min="107" max="107" width="38.5703125" style="54" hidden="1" customWidth="1" outlineLevel="1"/>
    <col min="108" max="108" width="21.5703125" style="36" hidden="1" customWidth="1" outlineLevel="1"/>
    <col min="109" max="109" width="25.85546875" style="1" hidden="1" customWidth="1" outlineLevel="1"/>
    <col min="110" max="110" width="32.140625" style="57" hidden="1" customWidth="1" outlineLevel="1"/>
    <col min="111" max="112" width="26.5703125" style="36" hidden="1" customWidth="1" outlineLevel="1"/>
    <col min="113" max="113" width="21.5703125" style="36" hidden="1" customWidth="1" outlineLevel="1"/>
    <col min="114" max="114" width="21.7109375" style="36" hidden="1" customWidth="1" outlineLevel="1"/>
    <col min="115" max="115" width="28.140625" style="36" hidden="1" customWidth="1" outlineLevel="1"/>
    <col min="116" max="116" width="21.7109375" style="36" hidden="1" customWidth="1" outlineLevel="1"/>
    <col min="117" max="117" width="21.5703125" style="36" hidden="1" customWidth="1" outlineLevel="1"/>
    <col min="118" max="118" width="21.7109375" style="36" hidden="1" customWidth="1" outlineLevel="1"/>
    <col min="119" max="119" width="21.5703125" style="36" hidden="1" customWidth="1" outlineLevel="1"/>
    <col min="120" max="120" width="21.7109375" style="36" hidden="1" customWidth="1" outlineLevel="1"/>
    <col min="121" max="121" width="21.140625" style="1" hidden="1" customWidth="1" outlineLevel="1"/>
    <col min="122" max="122" width="21.42578125" style="78" hidden="1" customWidth="1" outlineLevel="1"/>
    <col min="123" max="123" width="18.85546875" style="54" hidden="1" customWidth="1" outlineLevel="1"/>
    <col min="124" max="124" width="19.140625" style="54" hidden="1" customWidth="1" outlineLevel="1"/>
    <col min="125" max="125" width="38" style="36" bestFit="1" customWidth="1" collapsed="1"/>
    <col min="126" max="126" width="24.7109375" style="96" customWidth="1"/>
    <col min="127" max="127" width="22.42578125" style="36" hidden="1" customWidth="1" outlineLevel="1"/>
    <col min="128" max="128" width="17.7109375" style="36" hidden="1" customWidth="1" outlineLevel="1"/>
    <col min="129" max="129" width="31" style="36" hidden="1" customWidth="1" outlineLevel="1"/>
    <col min="130" max="130" width="39.28515625" style="36" hidden="1" customWidth="1" outlineLevel="1"/>
    <col min="131" max="131" width="57.85546875" style="36" hidden="1" customWidth="1" outlineLevel="1"/>
    <col min="132" max="132" width="25.85546875" style="36" hidden="1" customWidth="1" outlineLevel="1"/>
    <col min="133" max="133" width="24.42578125" style="44" hidden="1" customWidth="1" outlineLevel="1"/>
    <col min="134" max="134" width="48.5703125" style="44" hidden="1" customWidth="1" outlineLevel="1"/>
    <col min="135" max="136" width="37.7109375" style="54" hidden="1" customWidth="1" outlineLevel="1"/>
    <col min="137" max="138" width="33.42578125" style="54" hidden="1" customWidth="1" outlineLevel="1"/>
    <col min="139" max="139" width="38.5703125" style="54" hidden="1" customWidth="1" outlineLevel="1"/>
    <col min="140" max="140" width="21.5703125" style="36" hidden="1" customWidth="1" outlineLevel="1"/>
    <col min="141" max="141" width="25.85546875" style="36" hidden="1" customWidth="1" outlineLevel="1"/>
    <col min="142" max="142" width="32.140625" style="57" hidden="1" customWidth="1" outlineLevel="1"/>
    <col min="143" max="151" width="30.7109375" style="36" hidden="1" customWidth="1" outlineLevel="1"/>
    <col min="152" max="152" width="32.42578125" style="36" hidden="1" customWidth="1" outlineLevel="1"/>
    <col min="153" max="153" width="33.140625" style="36" hidden="1" customWidth="1" outlineLevel="1"/>
    <col min="154" max="154" width="31" style="36" hidden="1" customWidth="1" outlineLevel="1"/>
    <col min="155" max="155" width="29.5703125" style="36" hidden="1" customWidth="1" outlineLevel="1"/>
    <col min="156" max="156" width="30.5703125" style="36" hidden="1" customWidth="1" outlineLevel="1"/>
    <col min="157" max="157" width="20.85546875" style="1" bestFit="1" customWidth="1" collapsed="1"/>
    <col min="158" max="158" width="20.85546875" style="1" customWidth="1"/>
    <col min="159" max="159" width="23.85546875" style="1" hidden="1" customWidth="1" outlineLevel="1"/>
    <col min="160" max="160" width="19.140625" style="1" hidden="1" customWidth="1" outlineLevel="1"/>
    <col min="161" max="161" width="28.7109375" style="1" hidden="1" customWidth="1" outlineLevel="1"/>
    <col min="162" max="163" width="40.7109375" style="1" hidden="1" customWidth="1" outlineLevel="1"/>
    <col min="164" max="164" width="37.5703125" style="1" hidden="1" customWidth="1" outlineLevel="1"/>
    <col min="165" max="165" width="25.85546875" style="1" hidden="1" customWidth="1" outlineLevel="1"/>
    <col min="166" max="166" width="50" style="1" hidden="1" customWidth="1" outlineLevel="1"/>
    <col min="167" max="168" width="39.28515625" style="1" hidden="1" customWidth="1" outlineLevel="1"/>
    <col min="169" max="170" width="35.85546875" style="1" hidden="1" customWidth="1" outlineLevel="1"/>
    <col min="171" max="171" width="40.7109375" style="1" hidden="1" customWidth="1" outlineLevel="1"/>
    <col min="172" max="172" width="24" style="1" hidden="1" customWidth="1" outlineLevel="1"/>
    <col min="173" max="173" width="28.5703125" style="1" hidden="1" customWidth="1" outlineLevel="1"/>
    <col min="174" max="174" width="28.5703125" style="85" hidden="1" customWidth="1" outlineLevel="1"/>
    <col min="175" max="181" width="28.5703125" style="1" hidden="1" customWidth="1" outlineLevel="1"/>
    <col min="182" max="182" width="34.85546875" style="1" hidden="1" customWidth="1" outlineLevel="1"/>
    <col min="183" max="183" width="33.42578125" style="1" hidden="1" customWidth="1" outlineLevel="1"/>
    <col min="184" max="184" width="35" style="1" hidden="1" customWidth="1" outlineLevel="1"/>
    <col min="185" max="185" width="35.7109375" style="1" hidden="1" customWidth="1" outlineLevel="1"/>
    <col min="186" max="186" width="33.5703125" style="1" hidden="1" customWidth="1" outlineLevel="1"/>
    <col min="187" max="187" width="32" style="1" hidden="1" customWidth="1" outlineLevel="1"/>
    <col min="188" max="188" width="34.42578125" style="1" hidden="1" customWidth="1" outlineLevel="1"/>
    <col min="189" max="189" width="34.28515625" style="36" bestFit="1" customWidth="1" collapsed="1"/>
    <col min="190" max="190" width="31.140625" style="36" hidden="1" customWidth="1" outlineLevel="1"/>
    <col min="191" max="191" width="34.28515625" style="36" hidden="1" customWidth="1" outlineLevel="1"/>
    <col min="192" max="192" width="42" style="36" hidden="1" customWidth="1" outlineLevel="1"/>
    <col min="193" max="193" width="26.7109375" style="36" hidden="1" customWidth="1" outlineLevel="1"/>
    <col min="194" max="194" width="31.140625" style="36" hidden="1" customWidth="1" outlineLevel="1"/>
    <col min="195" max="195" width="31.7109375" style="36" hidden="1" customWidth="1" outlineLevel="1"/>
    <col min="196" max="197" width="26.85546875" style="36" hidden="1" customWidth="1" outlineLevel="1"/>
    <col min="198" max="198" width="26.85546875" style="57" hidden="1" customWidth="1" outlineLevel="1"/>
    <col min="199" max="199" width="26.85546875" style="36" hidden="1" customWidth="1" outlineLevel="1"/>
    <col min="200" max="200" width="27.7109375" style="36" hidden="1" customWidth="1" outlineLevel="1"/>
    <col min="201" max="201" width="39.5703125" style="1" hidden="1" customWidth="1" outlineLevel="1"/>
    <col min="202" max="202" width="31.5703125" style="36" hidden="1" customWidth="1" outlineLevel="1"/>
    <col min="203" max="203" width="32.42578125" style="1" hidden="1" customWidth="1" outlineLevel="1"/>
    <col min="204" max="204" width="48.7109375" style="115" hidden="1" customWidth="1" outlineLevel="1"/>
    <col min="205" max="205" width="26.85546875" style="1" hidden="1" customWidth="1" outlineLevel="1"/>
    <col min="206" max="206" width="48.85546875" style="1" hidden="1" customWidth="1" outlineLevel="1"/>
    <col min="207" max="207" width="43.85546875" style="106" hidden="1" customWidth="1" outlineLevel="1"/>
    <col min="208" max="208" width="43.85546875" style="85" hidden="1" customWidth="1" outlineLevel="1"/>
    <col min="209" max="209" width="48.85546875" style="1" hidden="1" customWidth="1" outlineLevel="1"/>
    <col min="210" max="210" width="43.85546875" style="106" hidden="1" customWidth="1" outlineLevel="1"/>
    <col min="211" max="211" width="26.28515625" style="103" hidden="1" customWidth="1" outlineLevel="1"/>
    <col min="212" max="212" width="36.7109375" style="1" hidden="1" customWidth="1" outlineLevel="1"/>
    <col min="213" max="213" width="26.85546875" style="106" hidden="1" customWidth="1" outlineLevel="1"/>
    <col min="214" max="214" width="26.85546875" style="103" hidden="1" customWidth="1" outlineLevel="1"/>
    <col min="215" max="215" width="26.85546875" style="1" hidden="1" customWidth="1" outlineLevel="1"/>
    <col min="216" max="216" width="26.85546875" style="106" hidden="1" customWidth="1" outlineLevel="1"/>
    <col min="217" max="217" width="26.85546875" style="103" hidden="1" customWidth="1" outlineLevel="1"/>
    <col min="218" max="218" width="36.7109375" style="1" hidden="1" customWidth="1" outlineLevel="1"/>
    <col min="219" max="219" width="26.85546875" style="106" hidden="1" customWidth="1" outlineLevel="1"/>
    <col min="220" max="220" width="26.85546875" style="110" hidden="1" customWidth="1" outlineLevel="1"/>
    <col min="221" max="221" width="38.140625" style="36" bestFit="1" customWidth="1" collapsed="1"/>
    <col min="222" max="222" width="38.140625" style="36" hidden="1" customWidth="1" outlineLevel="1"/>
    <col min="223" max="224" width="26.85546875" style="36" hidden="1" customWidth="1" outlineLevel="1"/>
    <col min="225" max="225" width="33.140625" style="36" hidden="1" customWidth="1" outlineLevel="1"/>
    <col min="226" max="226" width="35" style="36" hidden="1" customWidth="1" outlineLevel="1"/>
    <col min="227" max="227" width="37.42578125" style="36" hidden="1" customWidth="1" outlineLevel="1"/>
    <col min="228" max="228" width="26.85546875" style="36" hidden="1" customWidth="1" outlineLevel="1"/>
    <col min="229" max="229" width="43.140625" style="36" hidden="1" customWidth="1" outlineLevel="1"/>
    <col min="230" max="230" width="43.140625" style="57" hidden="1" customWidth="1" outlineLevel="1"/>
    <col min="231" max="231" width="43.140625" style="36" hidden="1" customWidth="1" outlineLevel="1"/>
    <col min="232" max="235" width="28.28515625" style="1" hidden="1" customWidth="1" outlineLevel="1"/>
    <col min="236" max="236" width="28.28515625" style="114" hidden="1" customWidth="1" outlineLevel="1"/>
    <col min="237" max="237" width="28.28515625" style="1" hidden="1" customWidth="1" outlineLevel="1"/>
    <col min="238" max="238" width="48.85546875" style="1" hidden="1" customWidth="1" outlineLevel="1"/>
    <col min="239" max="239" width="28.28515625" style="1" hidden="1" customWidth="1" outlineLevel="1"/>
    <col min="240" max="240" width="28.28515625" style="114" hidden="1" customWidth="1" outlineLevel="1"/>
    <col min="241" max="242" width="28.28515625" style="1" hidden="1" customWidth="1" outlineLevel="1"/>
    <col min="243" max="243" width="28.28515625" style="115" hidden="1" customWidth="1" outlineLevel="1"/>
    <col min="244" max="245" width="28.28515625" style="1" hidden="1" customWidth="1" outlineLevel="1"/>
    <col min="246" max="246" width="28.28515625" style="114" hidden="1" customWidth="1" outlineLevel="1"/>
    <col min="247" max="248" width="28.28515625" style="1" hidden="1" customWidth="1" outlineLevel="1"/>
    <col min="249" max="249" width="28.28515625" style="114" hidden="1" customWidth="1" outlineLevel="1"/>
    <col min="250" max="251" width="28.28515625" style="1" hidden="1" customWidth="1" outlineLevel="1"/>
    <col min="252" max="252" width="18.140625" style="114" hidden="1" customWidth="1" outlineLevel="1"/>
    <col min="253" max="253" width="255.7109375" style="51" bestFit="1" customWidth="1" collapsed="1"/>
    <col min="254" max="254" width="31.7109375" style="1" bestFit="1" customWidth="1"/>
    <col min="255" max="255" width="176" style="1" bestFit="1" customWidth="1"/>
    <col min="256" max="256" width="32.140625" style="1" bestFit="1" customWidth="1"/>
    <col min="257" max="257" width="175.85546875" style="1" bestFit="1" customWidth="1"/>
    <col min="258" max="258" width="32.140625" style="1" bestFit="1" customWidth="1"/>
    <col min="259" max="259" width="121.42578125" style="1" bestFit="1" customWidth="1"/>
    <col min="260" max="260" width="32.140625" style="1" bestFit="1" customWidth="1"/>
    <col min="261" max="261" width="27.140625" style="1" bestFit="1" customWidth="1"/>
    <col min="262" max="16384" width="11.42578125" style="1"/>
  </cols>
  <sheetData>
    <row r="1" spans="1:261" ht="15.75" thickBot="1" x14ac:dyDescent="0.3">
      <c r="A1" s="23" t="s">
        <v>16</v>
      </c>
      <c r="B1" s="13" t="s">
        <v>17</v>
      </c>
      <c r="C1" s="23" t="s">
        <v>59</v>
      </c>
      <c r="D1" s="23" t="s">
        <v>58</v>
      </c>
      <c r="E1" s="23" t="s">
        <v>48</v>
      </c>
      <c r="F1" s="13" t="s">
        <v>18</v>
      </c>
      <c r="G1" s="13" t="s">
        <v>19</v>
      </c>
      <c r="H1" s="13" t="s">
        <v>20</v>
      </c>
      <c r="I1" s="95" t="s">
        <v>273</v>
      </c>
      <c r="J1" s="4" t="s">
        <v>21</v>
      </c>
      <c r="K1" s="14" t="s">
        <v>22</v>
      </c>
      <c r="L1" s="62" t="s">
        <v>23</v>
      </c>
      <c r="M1" s="14" t="s">
        <v>62</v>
      </c>
      <c r="N1" s="14" t="s">
        <v>24</v>
      </c>
      <c r="O1" s="61" t="s">
        <v>25</v>
      </c>
      <c r="P1" s="14" t="s">
        <v>26</v>
      </c>
      <c r="Q1" s="14" t="s">
        <v>27</v>
      </c>
      <c r="R1" s="14" t="s">
        <v>28</v>
      </c>
      <c r="S1" s="14" t="s">
        <v>29</v>
      </c>
      <c r="T1" s="62" t="s">
        <v>30</v>
      </c>
      <c r="U1" s="62" t="s">
        <v>274</v>
      </c>
      <c r="V1" s="14" t="s">
        <v>53</v>
      </c>
      <c r="W1" s="14" t="s">
        <v>31</v>
      </c>
      <c r="X1" s="14" t="s">
        <v>54</v>
      </c>
      <c r="Y1" s="14" t="s">
        <v>61</v>
      </c>
      <c r="Z1" s="14" t="s">
        <v>32</v>
      </c>
      <c r="AA1" s="14" t="s">
        <v>33</v>
      </c>
      <c r="AB1" s="14" t="s">
        <v>60</v>
      </c>
      <c r="AC1" s="16" t="s">
        <v>34</v>
      </c>
      <c r="AD1" s="16" t="s">
        <v>69</v>
      </c>
      <c r="AE1" s="16" t="s">
        <v>70</v>
      </c>
      <c r="AF1" s="16" t="s">
        <v>71</v>
      </c>
      <c r="AG1" s="16" t="s">
        <v>72</v>
      </c>
      <c r="AH1" s="16" t="s">
        <v>73</v>
      </c>
      <c r="AI1" s="80" t="s">
        <v>74</v>
      </c>
      <c r="AJ1" s="16" t="s">
        <v>75</v>
      </c>
      <c r="AK1" s="27" t="s">
        <v>76</v>
      </c>
      <c r="AL1" s="28" t="s">
        <v>77</v>
      </c>
      <c r="AM1" s="29" t="s">
        <v>210</v>
      </c>
      <c r="AN1" s="29" t="s">
        <v>208</v>
      </c>
      <c r="AO1" s="29" t="s">
        <v>211</v>
      </c>
      <c r="AP1" s="29" t="s">
        <v>209</v>
      </c>
      <c r="AQ1" s="29" t="s">
        <v>78</v>
      </c>
      <c r="AR1" s="30" t="s">
        <v>79</v>
      </c>
      <c r="AS1" s="31" t="s">
        <v>80</v>
      </c>
      <c r="AT1" s="67" t="s">
        <v>81</v>
      </c>
      <c r="AU1" s="16" t="s">
        <v>82</v>
      </c>
      <c r="AV1" s="16" t="s">
        <v>83</v>
      </c>
      <c r="AW1" s="16" t="s">
        <v>84</v>
      </c>
      <c r="AX1" s="16" t="s">
        <v>85</v>
      </c>
      <c r="AY1" s="16" t="s">
        <v>86</v>
      </c>
      <c r="AZ1" s="16" t="s">
        <v>87</v>
      </c>
      <c r="BA1" s="16" t="s">
        <v>88</v>
      </c>
      <c r="BB1" s="16" t="s">
        <v>89</v>
      </c>
      <c r="BC1" s="16" t="s">
        <v>90</v>
      </c>
      <c r="BD1" s="16" t="s">
        <v>91</v>
      </c>
      <c r="BE1" s="16" t="s">
        <v>92</v>
      </c>
      <c r="BF1" s="63" t="s">
        <v>93</v>
      </c>
      <c r="BG1" s="64" t="s">
        <v>94</v>
      </c>
      <c r="BH1" s="64" t="s">
        <v>95</v>
      </c>
      <c r="BI1" s="20" t="s">
        <v>35</v>
      </c>
      <c r="BJ1" s="20" t="s">
        <v>96</v>
      </c>
      <c r="BK1" s="20" t="s">
        <v>97</v>
      </c>
      <c r="BL1" s="20" t="s">
        <v>98</v>
      </c>
      <c r="BM1" s="20" t="s">
        <v>99</v>
      </c>
      <c r="BN1" s="20" t="s">
        <v>100</v>
      </c>
      <c r="BO1" s="20" t="s">
        <v>101</v>
      </c>
      <c r="BP1" s="20" t="s">
        <v>102</v>
      </c>
      <c r="BQ1" s="49" t="s">
        <v>103</v>
      </c>
      <c r="BR1" s="65" t="s">
        <v>104</v>
      </c>
      <c r="BS1" s="20" t="s">
        <v>240</v>
      </c>
      <c r="BT1" s="20" t="s">
        <v>212</v>
      </c>
      <c r="BU1" s="20" t="s">
        <v>239</v>
      </c>
      <c r="BV1" s="20" t="s">
        <v>213</v>
      </c>
      <c r="BW1" s="20" t="s">
        <v>105</v>
      </c>
      <c r="BX1" s="33" t="s">
        <v>106</v>
      </c>
      <c r="BY1" s="34" t="s">
        <v>107</v>
      </c>
      <c r="BZ1" s="66" t="s">
        <v>108</v>
      </c>
      <c r="CA1" s="33" t="s">
        <v>109</v>
      </c>
      <c r="CB1" s="33" t="s">
        <v>110</v>
      </c>
      <c r="CC1" s="33" t="s">
        <v>111</v>
      </c>
      <c r="CD1" s="33" t="s">
        <v>112</v>
      </c>
      <c r="CE1" s="33" t="s">
        <v>113</v>
      </c>
      <c r="CF1" s="33" t="s">
        <v>114</v>
      </c>
      <c r="CG1" s="33" t="s">
        <v>115</v>
      </c>
      <c r="CH1" s="33" t="s">
        <v>116</v>
      </c>
      <c r="CI1" s="33" t="s">
        <v>117</v>
      </c>
      <c r="CJ1" s="20" t="s">
        <v>118</v>
      </c>
      <c r="CK1" s="20" t="s">
        <v>119</v>
      </c>
      <c r="CL1" s="20" t="s">
        <v>120</v>
      </c>
      <c r="CM1" s="20" t="s">
        <v>121</v>
      </c>
      <c r="CN1" s="33" t="s">
        <v>122</v>
      </c>
      <c r="CO1" s="16" t="s">
        <v>36</v>
      </c>
      <c r="CP1" s="16" t="s">
        <v>123</v>
      </c>
      <c r="CQ1" s="16" t="s">
        <v>124</v>
      </c>
      <c r="CR1" s="16" t="s">
        <v>125</v>
      </c>
      <c r="CS1" s="16" t="s">
        <v>126</v>
      </c>
      <c r="CT1" s="16" t="s">
        <v>127</v>
      </c>
      <c r="CU1" s="16" t="s">
        <v>128</v>
      </c>
      <c r="CV1" s="16" t="s">
        <v>129</v>
      </c>
      <c r="CW1" s="27" t="s">
        <v>130</v>
      </c>
      <c r="CX1" s="28" t="s">
        <v>131</v>
      </c>
      <c r="CY1" s="16" t="s">
        <v>241</v>
      </c>
      <c r="CZ1" s="16" t="s">
        <v>215</v>
      </c>
      <c r="DA1" s="16" t="s">
        <v>242</v>
      </c>
      <c r="DB1" s="16" t="s">
        <v>214</v>
      </c>
      <c r="DC1" s="64" t="s">
        <v>132</v>
      </c>
      <c r="DD1" s="35" t="s">
        <v>133</v>
      </c>
      <c r="DE1" s="31" t="s">
        <v>134</v>
      </c>
      <c r="DF1" s="67" t="s">
        <v>135</v>
      </c>
      <c r="DG1" s="16" t="s">
        <v>136</v>
      </c>
      <c r="DH1" s="16" t="s">
        <v>137</v>
      </c>
      <c r="DI1" s="16" t="s">
        <v>138</v>
      </c>
      <c r="DJ1" s="16" t="s">
        <v>139</v>
      </c>
      <c r="DK1" s="16" t="s">
        <v>140</v>
      </c>
      <c r="DL1" s="16" t="s">
        <v>141</v>
      </c>
      <c r="DM1" s="16" t="s">
        <v>142</v>
      </c>
      <c r="DN1" s="16" t="s">
        <v>143</v>
      </c>
      <c r="DO1" s="16" t="s">
        <v>144</v>
      </c>
      <c r="DP1" s="16" t="s">
        <v>145</v>
      </c>
      <c r="DQ1" s="16" t="s">
        <v>146</v>
      </c>
      <c r="DR1" s="63" t="s">
        <v>147</v>
      </c>
      <c r="DS1" s="64" t="s">
        <v>148</v>
      </c>
      <c r="DT1" s="64" t="s">
        <v>149</v>
      </c>
      <c r="DU1" s="20" t="s">
        <v>37</v>
      </c>
      <c r="DV1" s="104" t="s">
        <v>150</v>
      </c>
      <c r="DW1" s="20" t="s">
        <v>151</v>
      </c>
      <c r="DX1" s="20" t="s">
        <v>152</v>
      </c>
      <c r="DY1" s="20" t="s">
        <v>153</v>
      </c>
      <c r="DZ1" s="20" t="s">
        <v>154</v>
      </c>
      <c r="EA1" s="20" t="s">
        <v>155</v>
      </c>
      <c r="EB1" s="20" t="s">
        <v>156</v>
      </c>
      <c r="EC1" s="49" t="s">
        <v>157</v>
      </c>
      <c r="ED1" s="65" t="s">
        <v>158</v>
      </c>
      <c r="EE1" s="68" t="s">
        <v>243</v>
      </c>
      <c r="EF1" s="68" t="s">
        <v>216</v>
      </c>
      <c r="EG1" s="68" t="s">
        <v>244</v>
      </c>
      <c r="EH1" s="68" t="s">
        <v>217</v>
      </c>
      <c r="EI1" s="68" t="s">
        <v>159</v>
      </c>
      <c r="EJ1" s="33" t="s">
        <v>160</v>
      </c>
      <c r="EK1" s="34" t="s">
        <v>161</v>
      </c>
      <c r="EL1" s="75" t="s">
        <v>162</v>
      </c>
      <c r="EM1" s="46" t="s">
        <v>163</v>
      </c>
      <c r="EN1" s="46" t="s">
        <v>164</v>
      </c>
      <c r="EO1" s="46" t="s">
        <v>165</v>
      </c>
      <c r="EP1" s="46" t="s">
        <v>166</v>
      </c>
      <c r="EQ1" s="46" t="s">
        <v>167</v>
      </c>
      <c r="ER1" s="46" t="s">
        <v>168</v>
      </c>
      <c r="ES1" s="46" t="s">
        <v>169</v>
      </c>
      <c r="ET1" s="46" t="s">
        <v>170</v>
      </c>
      <c r="EU1" s="46" t="s">
        <v>171</v>
      </c>
      <c r="EV1" s="20" t="s">
        <v>172</v>
      </c>
      <c r="EW1" s="20" t="s">
        <v>173</v>
      </c>
      <c r="EX1" s="20" t="s">
        <v>174</v>
      </c>
      <c r="EY1" s="20" t="s">
        <v>175</v>
      </c>
      <c r="EZ1" s="20" t="s">
        <v>176</v>
      </c>
      <c r="FA1" s="20" t="s">
        <v>64</v>
      </c>
      <c r="FB1" s="20" t="s">
        <v>177</v>
      </c>
      <c r="FC1" s="20" t="s">
        <v>178</v>
      </c>
      <c r="FD1" s="20" t="s">
        <v>179</v>
      </c>
      <c r="FE1" s="20" t="s">
        <v>180</v>
      </c>
      <c r="FF1" s="20" t="s">
        <v>181</v>
      </c>
      <c r="FG1" s="20" t="s">
        <v>182</v>
      </c>
      <c r="FH1" s="20" t="s">
        <v>183</v>
      </c>
      <c r="FI1" s="20" t="s">
        <v>184</v>
      </c>
      <c r="FJ1" s="32" t="s">
        <v>185</v>
      </c>
      <c r="FK1" s="20" t="s">
        <v>245</v>
      </c>
      <c r="FL1" s="20" t="s">
        <v>218</v>
      </c>
      <c r="FM1" s="20" t="s">
        <v>246</v>
      </c>
      <c r="FN1" s="20" t="s">
        <v>219</v>
      </c>
      <c r="FO1" s="20" t="s">
        <v>186</v>
      </c>
      <c r="FP1" s="33" t="s">
        <v>187</v>
      </c>
      <c r="FQ1" s="34" t="s">
        <v>188</v>
      </c>
      <c r="FR1" s="66" t="s">
        <v>189</v>
      </c>
      <c r="FS1" s="33" t="s">
        <v>190</v>
      </c>
      <c r="FT1" s="33" t="s">
        <v>191</v>
      </c>
      <c r="FU1" s="33" t="s">
        <v>192</v>
      </c>
      <c r="FV1" s="33" t="s">
        <v>193</v>
      </c>
      <c r="FW1" s="33" t="s">
        <v>194</v>
      </c>
      <c r="FX1" s="33" t="s">
        <v>195</v>
      </c>
      <c r="FY1" s="33" t="s">
        <v>196</v>
      </c>
      <c r="FZ1" s="20" t="s">
        <v>197</v>
      </c>
      <c r="GA1" s="20" t="s">
        <v>198</v>
      </c>
      <c r="GB1" s="20" t="s">
        <v>199</v>
      </c>
      <c r="GC1" s="20" t="s">
        <v>200</v>
      </c>
      <c r="GD1" s="20" t="s">
        <v>201</v>
      </c>
      <c r="GE1" s="33" t="s">
        <v>202</v>
      </c>
      <c r="GF1" s="33" t="s">
        <v>203</v>
      </c>
      <c r="GG1" s="22" t="s">
        <v>66</v>
      </c>
      <c r="GH1" s="22" t="s">
        <v>207</v>
      </c>
      <c r="GI1" s="22" t="s">
        <v>205</v>
      </c>
      <c r="GJ1" s="22" t="s">
        <v>220</v>
      </c>
      <c r="GK1" s="22" t="s">
        <v>221</v>
      </c>
      <c r="GL1" s="22" t="s">
        <v>222</v>
      </c>
      <c r="GM1" s="22" t="s">
        <v>223</v>
      </c>
      <c r="GN1" s="22" t="s">
        <v>224</v>
      </c>
      <c r="GO1" s="22" t="s">
        <v>249</v>
      </c>
      <c r="GP1" s="98" t="s">
        <v>283</v>
      </c>
      <c r="GQ1" s="22" t="s">
        <v>275</v>
      </c>
      <c r="GR1" s="22" t="s">
        <v>225</v>
      </c>
      <c r="GS1" s="22" t="s">
        <v>226</v>
      </c>
      <c r="GT1" s="22" t="s">
        <v>227</v>
      </c>
      <c r="GU1" s="22" t="s">
        <v>228</v>
      </c>
      <c r="GV1" s="112" t="s">
        <v>292</v>
      </c>
      <c r="GW1" s="22" t="s">
        <v>248</v>
      </c>
      <c r="GX1" s="22" t="s">
        <v>251</v>
      </c>
      <c r="GY1" s="105" t="s">
        <v>287</v>
      </c>
      <c r="GZ1" s="98" t="s">
        <v>252</v>
      </c>
      <c r="HA1" s="22" t="s">
        <v>253</v>
      </c>
      <c r="HB1" s="105" t="s">
        <v>288</v>
      </c>
      <c r="HC1" s="107" t="s">
        <v>254</v>
      </c>
      <c r="HD1" s="22" t="s">
        <v>255</v>
      </c>
      <c r="HE1" s="105" t="s">
        <v>289</v>
      </c>
      <c r="HF1" s="107" t="s">
        <v>256</v>
      </c>
      <c r="HG1" s="22" t="s">
        <v>257</v>
      </c>
      <c r="HH1" s="105" t="s">
        <v>290</v>
      </c>
      <c r="HI1" s="107" t="s">
        <v>258</v>
      </c>
      <c r="HJ1" s="22" t="s">
        <v>259</v>
      </c>
      <c r="HK1" s="105" t="s">
        <v>291</v>
      </c>
      <c r="HL1" s="109" t="s">
        <v>260</v>
      </c>
      <c r="HM1" s="94" t="s">
        <v>67</v>
      </c>
      <c r="HN1" s="94" t="s">
        <v>229</v>
      </c>
      <c r="HO1" s="94" t="s">
        <v>206</v>
      </c>
      <c r="HP1" s="94" t="s">
        <v>230</v>
      </c>
      <c r="HQ1" s="94" t="s">
        <v>231</v>
      </c>
      <c r="HR1" s="94" t="s">
        <v>232</v>
      </c>
      <c r="HS1" s="94" t="s">
        <v>233</v>
      </c>
      <c r="HT1" s="94" t="s">
        <v>234</v>
      </c>
      <c r="HU1" s="94" t="s">
        <v>261</v>
      </c>
      <c r="HV1" s="100" t="s">
        <v>284</v>
      </c>
      <c r="HW1" s="94" t="s">
        <v>285</v>
      </c>
      <c r="HX1" s="94" t="s">
        <v>235</v>
      </c>
      <c r="HY1" s="94" t="s">
        <v>236</v>
      </c>
      <c r="HZ1" s="94" t="s">
        <v>237</v>
      </c>
      <c r="IA1" s="94" t="s">
        <v>238</v>
      </c>
      <c r="IB1" s="116" t="s">
        <v>293</v>
      </c>
      <c r="IC1" s="94" t="s">
        <v>262</v>
      </c>
      <c r="ID1" s="94" t="s">
        <v>263</v>
      </c>
      <c r="IE1" s="94" t="s">
        <v>294</v>
      </c>
      <c r="IF1" s="116" t="s">
        <v>264</v>
      </c>
      <c r="IG1" s="94" t="s">
        <v>265</v>
      </c>
      <c r="IH1" s="94" t="s">
        <v>295</v>
      </c>
      <c r="II1" s="118" t="s">
        <v>266</v>
      </c>
      <c r="IJ1" s="94" t="s">
        <v>267</v>
      </c>
      <c r="IK1" s="94" t="s">
        <v>296</v>
      </c>
      <c r="IL1" s="116" t="s">
        <v>268</v>
      </c>
      <c r="IM1" s="94" t="s">
        <v>269</v>
      </c>
      <c r="IN1" s="94" t="s">
        <v>297</v>
      </c>
      <c r="IO1" s="116" t="s">
        <v>270</v>
      </c>
      <c r="IP1" s="94" t="s">
        <v>271</v>
      </c>
      <c r="IQ1" s="94" t="s">
        <v>298</v>
      </c>
      <c r="IR1" s="116" t="s">
        <v>272</v>
      </c>
      <c r="IS1" s="50" t="s">
        <v>38</v>
      </c>
      <c r="IT1" s="23" t="s">
        <v>39</v>
      </c>
      <c r="IU1" s="23" t="s">
        <v>40</v>
      </c>
      <c r="IV1" s="23" t="s">
        <v>41</v>
      </c>
      <c r="IW1" s="23" t="s">
        <v>42</v>
      </c>
      <c r="IX1" s="23" t="s">
        <v>43</v>
      </c>
      <c r="IY1" s="23" t="s">
        <v>44</v>
      </c>
      <c r="IZ1" s="23" t="s">
        <v>45</v>
      </c>
      <c r="JA1" s="23" t="s">
        <v>46</v>
      </c>
    </row>
    <row r="2" spans="1:261" ht="105" x14ac:dyDescent="0.25">
      <c r="A2" s="1" t="s">
        <v>302</v>
      </c>
      <c r="B2" s="1" t="s">
        <v>302</v>
      </c>
      <c r="C2" s="48">
        <v>43763</v>
      </c>
      <c r="D2" s="5"/>
      <c r="E2" s="2"/>
      <c r="I2" s="11">
        <f>IFERROR(VLOOKUP(Tableau5[[#This Row],[NOM]],Tableau4[#All],3,FALSE)+DAYS360(40179,40544,TRUE),0)</f>
        <v>43758</v>
      </c>
      <c r="J2" s="1" t="e">
        <f>#REF!</f>
        <v>#REF!</v>
      </c>
      <c r="K2" s="47" t="s">
        <v>276</v>
      </c>
      <c r="L2" s="39" t="e">
        <f>#REF!</f>
        <v>#REF!</v>
      </c>
      <c r="M2" s="39"/>
      <c r="N2" s="39"/>
      <c r="O2" s="69">
        <v>0</v>
      </c>
      <c r="P2" s="39"/>
      <c r="Q2" s="39"/>
      <c r="R2" s="39"/>
      <c r="S2" s="39"/>
      <c r="T2" s="70"/>
      <c r="U2" s="70"/>
      <c r="V2" s="39"/>
      <c r="W2" s="39"/>
      <c r="X2" s="39"/>
      <c r="Y2" s="39"/>
      <c r="Z2" s="39"/>
      <c r="AA2" s="39"/>
      <c r="AB2" s="39"/>
      <c r="AC2" s="24" t="s">
        <v>68</v>
      </c>
      <c r="AD2" s="24" t="s">
        <v>302</v>
      </c>
      <c r="AE2" s="24" t="s">
        <v>303</v>
      </c>
      <c r="AF2" s="16" t="s">
        <v>49</v>
      </c>
      <c r="AG2" s="16"/>
      <c r="AH2" s="16"/>
      <c r="AI2" s="16" t="s">
        <v>1</v>
      </c>
      <c r="AJ2" s="16"/>
      <c r="AK2" s="17">
        <v>43192</v>
      </c>
      <c r="AL2" s="17">
        <v>43747</v>
      </c>
      <c r="AM2" s="18">
        <v>20700</v>
      </c>
      <c r="AN2" s="18">
        <v>1000</v>
      </c>
      <c r="AO2" s="18">
        <v>0</v>
      </c>
      <c r="AP2" s="18">
        <v>0</v>
      </c>
      <c r="AQ2" s="18">
        <v>20743.04</v>
      </c>
      <c r="AR2" s="45">
        <f>Tableau5[[#This Row],[B1 - valeur du contrat à date]]+Tableau5[[#This Row],[B1 - somme des rachats N-1]]+Tableau5[[#This Row],[B1 - somme des rachats depuis janvier]]-(Tableau5[[#This Row],[B1 - somme des versements N-1]]+Tableau5[[#This Row],[B1 - somme des versements depuis janvier]])</f>
        <v>-956.95999999999913</v>
      </c>
      <c r="AS2" s="37">
        <f>IFERROR(((Tableau5[[#This Row],[B1 - valeur du contrat à date]]+Tableau5[[#This Row],[B1 - somme des rachats N-1]]+Tableau5[[#This Row],[B1 - somme des rachats depuis janvier]])/(Tableau5[[#This Row],[B1 - somme des versements N-1]]+Tableau5[[#This Row],[B1 - somme des versements depuis janvier]])-1)*100,0)</f>
        <v>-4.4099539170506912</v>
      </c>
      <c r="AT2" s="83">
        <v>4.7500000000000001E-2</v>
      </c>
      <c r="AU2" s="15" t="s">
        <v>1</v>
      </c>
      <c r="AV2" s="15" t="s">
        <v>1</v>
      </c>
      <c r="AW2" s="15" t="s">
        <v>1</v>
      </c>
      <c r="AX2" s="15" t="s">
        <v>1</v>
      </c>
      <c r="AY2" s="15" t="s">
        <v>1</v>
      </c>
      <c r="AZ2" s="15" t="s">
        <v>1</v>
      </c>
      <c r="BA2" s="15" t="s">
        <v>1</v>
      </c>
      <c r="BB2" s="15" t="s">
        <v>1</v>
      </c>
      <c r="BC2" s="15" t="s">
        <v>1</v>
      </c>
      <c r="BD2" s="15" t="s">
        <v>1</v>
      </c>
      <c r="BE2" s="15">
        <v>18368.82</v>
      </c>
      <c r="BF2" s="15">
        <v>-6.38</v>
      </c>
      <c r="BG2" s="71">
        <f>Tableau5[[#This Row],[B1 - valeur du contrat à date]]</f>
        <v>20743.04</v>
      </c>
      <c r="BH2" s="52">
        <f>IFERROR(IF(Tableau5[[#This Row],[B1 - Etat N-1]]&lt;&gt;"-",(Tableau5[[#This Row],[B1 - Etat N]]-(Tableau5[[#This Row],[B1 - Etat N-1]]+Tableau5[[#This Row],[B1 - somme des versements depuis janvier]]*(1-Tableau5[[#This Row],[B1 - frais de versements]])))/(Tableau5[[#This Row],[B1 - Etat N-1]]+Tableau5[[#This Row],[B1 - somme des versements depuis janvier]]*(1-Tableau5[[#This Row],[B1 - frais de versements]]))*100,Tableau5[[#This Row],[B1 - +/- value (%)]]),0)</f>
        <v>7.3582964310927066</v>
      </c>
      <c r="BI2" s="42" t="s">
        <v>204</v>
      </c>
      <c r="BJ2" s="42" t="s">
        <v>304</v>
      </c>
      <c r="BK2" s="19" t="s">
        <v>305</v>
      </c>
      <c r="BL2" s="19" t="s">
        <v>49</v>
      </c>
      <c r="BM2" s="19">
        <v>15000</v>
      </c>
      <c r="BN2" s="19">
        <v>100</v>
      </c>
      <c r="BO2" s="19"/>
      <c r="BP2" s="19" t="s">
        <v>247</v>
      </c>
      <c r="BQ2" s="38">
        <v>43192</v>
      </c>
      <c r="BR2" s="38">
        <v>43747</v>
      </c>
      <c r="BS2" s="19">
        <v>15600</v>
      </c>
      <c r="BT2" s="19">
        <v>1000</v>
      </c>
      <c r="BU2" s="19">
        <v>0</v>
      </c>
      <c r="BV2" s="19">
        <v>0</v>
      </c>
      <c r="BW2" s="19">
        <v>15416.14</v>
      </c>
      <c r="BX2" s="45">
        <f>Tableau5[[#This Row],[B2 - valeur du contrat à date]]+Tableau5[[#This Row],[B2 - somme des rachats N-1]]+Tableau5[[#This Row],[B2 - somme des rachats depuis janvier]]-(Tableau5[[#This Row],[B2 - somme des versements N-1]]+Tableau5[[#This Row],[B2 - somme des versements depuis janvier]])</f>
        <v>-1183.8600000000006</v>
      </c>
      <c r="BY2" s="37">
        <f>IFERROR(((Tableau5[[#This Row],[B2 - valeur du contrat à date]]+Tableau5[[#This Row],[B2 - somme des rachats N-1]]+Tableau5[[#This Row],[B2 - somme des rachats depuis janvier]])/(Tableau5[[#This Row],[B2 - somme des versements N-1]]+Tableau5[[#This Row],[B2 - somme des versements depuis janvier]])-1)*100,0)</f>
        <v>-7.1316867469879526</v>
      </c>
      <c r="BZ2" s="72">
        <v>4.7500000000000001E-2</v>
      </c>
      <c r="CA2" s="25" t="s">
        <v>1</v>
      </c>
      <c r="CB2" s="25" t="s">
        <v>1</v>
      </c>
      <c r="CC2" s="25" t="s">
        <v>1</v>
      </c>
      <c r="CD2" s="25" t="s">
        <v>1</v>
      </c>
      <c r="CE2" s="25" t="s">
        <v>1</v>
      </c>
      <c r="CF2" s="25" t="s">
        <v>1</v>
      </c>
      <c r="CG2" s="25" t="s">
        <v>1</v>
      </c>
      <c r="CH2" s="25" t="s">
        <v>1</v>
      </c>
      <c r="CI2" s="25" t="s">
        <v>1</v>
      </c>
      <c r="CJ2" s="19" t="s">
        <v>1</v>
      </c>
      <c r="CK2" s="19">
        <v>13884.8</v>
      </c>
      <c r="CL2" s="19">
        <v>-6.56</v>
      </c>
      <c r="CM2" s="19">
        <f>Tableau5[[#This Row],[B2 - valeur du contrat à date]]</f>
        <v>15416.14</v>
      </c>
      <c r="CN2" s="60">
        <f>IFERROR(IF(Tableau5[[#This Row],[B2 - Etat N-1]]&lt;&gt;"-",(Tableau5[[#This Row],[B2 - Etat N]]-(Tableau5[[#This Row],[B2 - Etat N-1]]+Tableau5[[#This Row],[B2 - somme des versements depuis janvier]]*(1-Tableau5[[#This Row],[B2 - frais de versements]])))/(Tableau5[[#This Row],[B2 - Etat N-1]]+Tableau5[[#This Row],[B2 - somme des versements depuis janvier]]*(1-Tableau5[[#This Row],[B2 - frais de versements]]))*100,Tableau5[[#This Row],[B2 - +/- value (%)]]),0)</f>
        <v>3.9012488795131204</v>
      </c>
      <c r="CO2" s="24"/>
      <c r="CP2" s="24"/>
      <c r="CQ2" s="15"/>
      <c r="CR2" s="15"/>
      <c r="CS2" s="15"/>
      <c r="CT2" s="15"/>
      <c r="CU2" s="15"/>
      <c r="CV2" s="15"/>
      <c r="CW2" s="17"/>
      <c r="CX2" s="17"/>
      <c r="CY2" s="15"/>
      <c r="CZ2" s="15"/>
      <c r="DA2" s="15"/>
      <c r="DB2" s="15"/>
      <c r="DC2" s="37"/>
      <c r="DD2" s="45">
        <f>Tableau5[[#This Row],[B3 - valeur du contrat à date]]+Tableau5[[#This Row],[B3 - somme des rachats N-1]]+Tableau5[[#This Row],[B3 - somme des rachats depuis janvier]]-(Tableau5[[#This Row],[B3 - somme des versements N-1]]+Tableau5[[#This Row],[B3 - somme des versements depuis janvier]])</f>
        <v>0</v>
      </c>
      <c r="DE2" s="37">
        <f>IFERROR(((Tableau5[[#This Row],[B3 - valeur du contrat à date]]+Tableau5[[#This Row],[B3 - somme des rachats N-1]]+Tableau5[[#This Row],[B3 - somme des rachats depuis janvier]])/(Tableau5[[#This Row],[B3 - somme des versements N-1]]+Tableau5[[#This Row],[B3 - somme des versements depuis janvier]])-1)*100,0)</f>
        <v>0</v>
      </c>
      <c r="DF2" s="53">
        <v>4.4999999999999998E-2</v>
      </c>
      <c r="DG2" s="37" t="s">
        <v>1</v>
      </c>
      <c r="DH2" s="37" t="s">
        <v>1</v>
      </c>
      <c r="DI2" s="37" t="s">
        <v>1</v>
      </c>
      <c r="DJ2" s="37" t="s">
        <v>1</v>
      </c>
      <c r="DK2" s="37" t="s">
        <v>1</v>
      </c>
      <c r="DL2" s="37" t="s">
        <v>1</v>
      </c>
      <c r="DM2" s="37" t="s">
        <v>1</v>
      </c>
      <c r="DN2" s="37" t="s">
        <v>1</v>
      </c>
      <c r="DO2" s="37" t="s">
        <v>1</v>
      </c>
      <c r="DP2" s="37" t="s">
        <v>1</v>
      </c>
      <c r="DQ2" s="37">
        <v>14674.47</v>
      </c>
      <c r="DR2" s="37">
        <v>-4.26</v>
      </c>
      <c r="DS2" s="71">
        <f>Tableau5[[#This Row],[B3 - valeur du contrat à date]]</f>
        <v>0</v>
      </c>
      <c r="DT2" s="52">
        <f>IFERROR(IF(Tableau5[[#This Row],[B3 - Etat N-1]]&lt;&gt;"-",(Tableau5[[#This Row],[B3 - Etat N]]-(Tableau5[[#This Row],[B3 - Etat N-1]]+Tableau5[[#This Row],[B3 - somme des versements depuis janvier]]*(1-Tableau5[[#This Row],[B3 - frais de versements]])))/(Tableau5[[#This Row],[B3 - Etat N-1]]+Tableau5[[#This Row],[B3 - somme des versements depuis janvier]]*(1-Tableau5[[#This Row],[B3 - frais de versements]]))*100,Tableau5[[#This Row],[B3 - +/- value (%)]]),0)</f>
        <v>-100</v>
      </c>
      <c r="DU2" s="19" t="e">
        <f>#REF!</f>
        <v>#REF!</v>
      </c>
      <c r="DV2" s="46" t="s">
        <v>47</v>
      </c>
      <c r="DW2" s="20"/>
      <c r="DX2" s="19"/>
      <c r="DY2" s="19"/>
      <c r="DZ2" s="19"/>
      <c r="EA2" s="19"/>
      <c r="EB2" s="46"/>
      <c r="EC2" s="38">
        <v>0</v>
      </c>
      <c r="ED2" s="38">
        <v>0</v>
      </c>
      <c r="EE2" s="60"/>
      <c r="EF2" s="60"/>
      <c r="EG2" s="60"/>
      <c r="EH2" s="60"/>
      <c r="EI2" s="60"/>
      <c r="EJ2" s="82">
        <f>Tableau5[[#This Row],[B4 - valeur du contrat à date]]+Tableau5[[#This Row],[B4 - somme des rachats N-1]]+Tableau5[[#This Row],[B4 - somme des rachats depuis janvier]]-(Tableau5[[#This Row],[B4 - somme des versements N-1]]+Tableau5[[#This Row],[B4 - somme des versements depuis janvier]])</f>
        <v>0</v>
      </c>
      <c r="EK2" s="25">
        <f>IFERROR(((Tableau5[[#This Row],[B4 - valeur du contrat à date]]+Tableau5[[#This Row],[B4 - somme des rachats N-1]]+Tableau5[[#This Row],[B4 - somme des rachats depuis janvier]])/(Tableau5[[#This Row],[B4 - somme des versements N-1]]+Tableau5[[#This Row],[B4 - somme des versements depuis janvier]])-1)*100,0)</f>
        <v>0</v>
      </c>
      <c r="EL2" s="72" t="s">
        <v>1</v>
      </c>
      <c r="EM2" s="60" t="s">
        <v>1</v>
      </c>
      <c r="EN2" s="60" t="s">
        <v>1</v>
      </c>
      <c r="EO2" s="60" t="s">
        <v>1</v>
      </c>
      <c r="EP2" s="60" t="s">
        <v>1</v>
      </c>
      <c r="EQ2" s="60" t="s">
        <v>1</v>
      </c>
      <c r="ER2" s="60" t="s">
        <v>1</v>
      </c>
      <c r="ES2" s="60" t="s">
        <v>1</v>
      </c>
      <c r="ET2" s="60" t="s">
        <v>1</v>
      </c>
      <c r="EU2" s="60" t="s">
        <v>1</v>
      </c>
      <c r="EV2" s="60" t="s">
        <v>1</v>
      </c>
      <c r="EW2" s="60" t="s">
        <v>1</v>
      </c>
      <c r="EX2" s="60" t="s">
        <v>1</v>
      </c>
      <c r="EY2" s="73">
        <f>Tableau5[[#This Row],[B4 - valeur du contrat à date]]</f>
        <v>0</v>
      </c>
      <c r="EZ2" s="74">
        <f>IFERROR(IF(Tableau5[[#This Row],[B4 - Etat N-1]]&lt;&gt;"-",(Tableau5[[#This Row],[B4 - Etat N]]-(Tableau5[[#This Row],[B4 - Etat N-1]]+Tableau5[[#This Row],[B4 - somme des versements depuis janvier]]*(1-Tableau5[[#This Row],[B4 - frais de versements]])))/(Tableau5[[#This Row],[B4 - Etat N-1]]+Tableau5[[#This Row],[B4 - somme des versements depuis janvier]]*(1-Tableau5[[#This Row],[B4 - frais de versements]]))*100,Tableau5[[#This Row],[B4 - +/- value (%)]]),0)</f>
        <v>0</v>
      </c>
      <c r="FA2" s="19"/>
      <c r="FB2" s="19"/>
      <c r="FC2" s="19"/>
      <c r="FD2" s="19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82">
        <f>Tableau5[[#This Row],[B5 - valeur du contrat à date]]+Tableau5[[#This Row],[B5 - somme des rachats N-1]]+Tableau5[[#This Row],[B5 - somme des rachats depuis janvier]]-(Tableau5[[#This Row],[B5 - somme des versements N-1]]+Tableau5[[#This Row],[B5 - somme des versements depuis janvier]])</f>
        <v>0</v>
      </c>
      <c r="FQ2" s="60">
        <f>IFERROR(((Tableau5[[#This Row],[B5 - valeur du contrat à date]]+Tableau5[[#This Row],[B5 - somme des rachats N-1]]+Tableau5[[#This Row],[B5 - somme des rachats depuis janvier]])/(Tableau5[[#This Row],[B5 - somme des versements N-1]]+Tableau5[[#This Row],[B5 - somme des versements depuis janvier]])-1)*100,0)</f>
        <v>0</v>
      </c>
      <c r="FR2" s="84"/>
      <c r="FS2" s="19"/>
      <c r="FT2" s="19"/>
      <c r="FU2" s="19"/>
      <c r="FV2" s="19"/>
      <c r="FW2" s="19"/>
      <c r="FX2" s="19"/>
      <c r="FY2" s="19"/>
      <c r="FZ2" s="19"/>
      <c r="GA2" s="19"/>
      <c r="GB2" s="19"/>
      <c r="GC2" s="19"/>
      <c r="GD2" s="19"/>
      <c r="GE2" s="60">
        <f>Tableau5[[#This Row],[B5 - valeur du contrat à date]]</f>
        <v>0</v>
      </c>
      <c r="GF2" s="60">
        <f>IFERROR(IF(Tableau5[[#This Row],[B5 - Etat N-1]]&lt;&gt;"-",(Tableau5[[#This Row],[B5 - Etat N]]-(Tableau5[[#This Row],[B5 - Etat N-1]]+Tableau5[[#This Row],[B5 - somme des versements depuis janvier]]*(1-Tableau5[[#This Row],[B5 - frais de versements]])))/(Tableau5[[#This Row],[B5 - Etat N-1]]+Tableau5[[#This Row],[B5 - somme des versements depuis janvier]]*(1-Tableau5[[#This Row],[B5 - frais de versements]]))*100,Tableau5[[#This Row],[B5 - +/- value (%)]]),0)</f>
        <v>0</v>
      </c>
      <c r="GG2" s="86" t="s">
        <v>250</v>
      </c>
      <c r="GH2" s="86" t="e">
        <f>VLOOKUP(Tableau5[[#This Row],[Titre B6]],#REF!,2,FALSE)</f>
        <v>#REF!</v>
      </c>
      <c r="GI2" s="86"/>
      <c r="GJ2" s="86"/>
      <c r="GK2" s="86"/>
      <c r="GL2" s="86"/>
      <c r="GM2" s="59"/>
      <c r="GN2" s="87">
        <v>0</v>
      </c>
      <c r="GO2" s="88">
        <v>0</v>
      </c>
      <c r="GP2" s="99"/>
      <c r="GQ2" s="88">
        <f>Tableau5[[#This Row],[B6 - Nombre de parts]]*Tableau5[[#This Row],[B6 - prix d''achat]]*Tableau5[[#This Row],[B6 - clé d''achat]]</f>
        <v>0</v>
      </c>
      <c r="GR2" s="59"/>
      <c r="GS2" s="59" t="e">
        <f>VLOOKUP(Tableau5[[#This Row],[Titre B6]],#REF!,21,FALSE)</f>
        <v>#REF!</v>
      </c>
      <c r="GT2" s="88" t="e">
        <f>VLOOKUP(Tableau5[[#This Row],[Titre B6]],#REF!,19,FALSE)</f>
        <v>#REF!</v>
      </c>
      <c r="GU2" s="88" t="e">
        <f>Tableau5[[#This Row],[B6 - Nombre de parts]]*Tableau5[[#This Row],[B6 - cours de la part]]</f>
        <v>#REF!</v>
      </c>
      <c r="GV2" s="113">
        <f>IFERROR(Tableau5[[#This Row],[B6 - distribution par part N-1]]/(Tableau5[[#This Row],[B6 - prix d''achat]]*Tableau5[[#This Row],[B6 - clé d''achat]])*100,0)</f>
        <v>0</v>
      </c>
      <c r="GW2" s="21" t="e">
        <f>VLOOKUP(Tableau5[[#This Row],[Titre B6]],#REF!,3,FALSE)</f>
        <v>#REF!</v>
      </c>
      <c r="GX2" s="88" t="e">
        <f>VLOOKUP(Tableau5[[#This Row],[Titre B6]],#REF!,4,FALSE)</f>
        <v>#REF!</v>
      </c>
      <c r="GY2" s="102" t="e">
        <f>VLOOKUP(Tableau5[[#This Row],[Titre B6]],#REF!,5,FALSE)</f>
        <v>#REF!</v>
      </c>
      <c r="GZ2" s="111" t="e">
        <f>VLOOKUP(Tableau5[[#This Row],[Titre B6]],#REF!,6,FALSE)*100</f>
        <v>#REF!</v>
      </c>
      <c r="HA2" s="88" t="e">
        <f>VLOOKUP(Tableau5[[#This Row],[Titre B6]],#REF!,7,FALSE)</f>
        <v>#REF!</v>
      </c>
      <c r="HB2" s="97" t="e">
        <f>VLOOKUP(Tableau5[[#This Row],[Titre B6]],#REF!,8,FALSE)</f>
        <v>#REF!</v>
      </c>
      <c r="HC2" s="111" t="e">
        <f>VLOOKUP(Tableau5[[#This Row],[Titre B6]],#REF!,9,FALSE)*100</f>
        <v>#REF!</v>
      </c>
      <c r="HD2" s="88" t="e">
        <f>VLOOKUP(Tableau5[[#This Row],[Titre B6]],#REF!,10,FALSE)</f>
        <v>#REF!</v>
      </c>
      <c r="HE2" s="97" t="e">
        <f>VLOOKUP(Tableau5[[#This Row],[Titre B6]],#REF!,11,FALSE)</f>
        <v>#REF!</v>
      </c>
      <c r="HF2" s="111" t="e">
        <f>VLOOKUP(Tableau5[[#This Row],[Titre B6]],#REF!,12,FALSE)*100</f>
        <v>#REF!</v>
      </c>
      <c r="HG2" s="88" t="e">
        <f>VLOOKUP(Tableau5[[#This Row],[Titre B6]],#REF!,13,FALSE)</f>
        <v>#REF!</v>
      </c>
      <c r="HH2" s="97" t="e">
        <f>VLOOKUP(Tableau5[[#This Row],[Titre B6]],#REF!,14,FALSE)</f>
        <v>#REF!</v>
      </c>
      <c r="HI2" s="111" t="e">
        <f>VLOOKUP(Tableau5[[#This Row],[Titre B6]],#REF!,15,FALSE)*100</f>
        <v>#REF!</v>
      </c>
      <c r="HJ2" s="88" t="e">
        <f>VLOOKUP(Tableau5[[#This Row],[Titre B6]],#REF!,16,FALSE)</f>
        <v>#REF!</v>
      </c>
      <c r="HK2" s="97" t="e">
        <f>VLOOKUP(Tableau5[[#This Row],[Titre B6]],#REF!,17,FALSE)</f>
        <v>#REF!</v>
      </c>
      <c r="HL2" s="108" t="e">
        <f>VLOOKUP(Tableau5[[#This Row],[Titre B6]],#REF!,18,FALSE)*100</f>
        <v>#REF!</v>
      </c>
      <c r="HM2" s="89" t="s">
        <v>250</v>
      </c>
      <c r="HN2" s="89" t="e">
        <f>VLOOKUP(Tableau5[[#This Row],[Titre B7]],#REF!,2,FALSE)</f>
        <v>#REF!</v>
      </c>
      <c r="HO2" s="89"/>
      <c r="HP2" s="89"/>
      <c r="HQ2" s="89"/>
      <c r="HR2" s="89"/>
      <c r="HS2" s="90"/>
      <c r="HT2" s="91"/>
      <c r="HU2" s="92"/>
      <c r="HV2" s="101"/>
      <c r="HW2" s="92">
        <f>Tableau5[[#This Row],[B7 - Nombre de parts]]*Tableau5[[#This Row],[B7 - prix d''achat]]*Tableau5[[#This Row],[B7 - clé d''achat]]</f>
        <v>0</v>
      </c>
      <c r="HX2" s="90"/>
      <c r="HY2" s="90" t="e">
        <f>VLOOKUP(Tableau5[[#This Row],[Titre B7]],#REF!,21,FALSE)</f>
        <v>#REF!</v>
      </c>
      <c r="HZ2" s="92" t="e">
        <f>VLOOKUP(Tableau5[[#This Row],[Titre B7]],#REF!,19,FALSE)</f>
        <v>#REF!</v>
      </c>
      <c r="IA2" s="92" t="e">
        <f>Tableau5[[#This Row],[B7 - Nombre de parts]]*Tableau5[[#This Row],[B7 - cours de la part]]</f>
        <v>#REF!</v>
      </c>
      <c r="IB2" s="117">
        <f>IFERROR(Tableau5[[#This Row],[B7 - distribution par part N-1]]/(Tableau5[[#This Row],[B7 - prix d''achat]]*Tableau5[[#This Row],[B7 - clé d''achat]])*100,0)</f>
        <v>0</v>
      </c>
      <c r="IC2" s="93" t="e">
        <f>VLOOKUP(Tableau5[[#This Row],[Titre B7]],#REF!,3,FALSE)</f>
        <v>#REF!</v>
      </c>
      <c r="ID2" s="92" t="e">
        <f>VLOOKUP(Tableau5[[#This Row],[Titre B7]],#REF!,4,FALSE)</f>
        <v>#REF!</v>
      </c>
      <c r="IE2" s="92" t="e">
        <f>VLOOKUP(Tableau5[[#This Row],[Titre B7]],#REF!,5,FALSE)</f>
        <v>#REF!</v>
      </c>
      <c r="IF2" s="117" t="e">
        <f>VLOOKUP(Tableau5[[#This Row],[Titre B7]],#REF!,6,FALSE)*100</f>
        <v>#REF!</v>
      </c>
      <c r="IG2" s="92" t="e">
        <f>VLOOKUP(Tableau5[[#This Row],[Titre B7]],#REF!,7,FALSE)</f>
        <v>#REF!</v>
      </c>
      <c r="IH2" s="92" t="e">
        <f>VLOOKUP(Tableau5[[#This Row],[Titre B7]],#REF!,8,FALSE)</f>
        <v>#REF!</v>
      </c>
      <c r="II2" s="119" t="e">
        <f>VLOOKUP(Tableau5[[#This Row],[Titre B7]],#REF!,9,FALSE)*100</f>
        <v>#REF!</v>
      </c>
      <c r="IJ2" s="92" t="e">
        <f>VLOOKUP(Tableau5[[#This Row],[Titre B7]],#REF!,10,FALSE)</f>
        <v>#REF!</v>
      </c>
      <c r="IK2" s="92" t="e">
        <f>VLOOKUP(Tableau5[[#This Row],[Titre B7]],#REF!,11,FALSE)</f>
        <v>#REF!</v>
      </c>
      <c r="IL2" s="117" t="e">
        <f>VLOOKUP(Tableau5[[#This Row],[Titre B7]],#REF!,12,FALSE)*100</f>
        <v>#REF!</v>
      </c>
      <c r="IM2" s="92" t="e">
        <f>VLOOKUP(Tableau5[[#This Row],[Titre B7]],#REF!,13,FALSE)</f>
        <v>#REF!</v>
      </c>
      <c r="IN2" s="92" t="e">
        <f>VLOOKUP(Tableau5[[#This Row],[Titre B7]],#REF!,14,FALSE)</f>
        <v>#REF!</v>
      </c>
      <c r="IO2" s="117" t="e">
        <f>VLOOKUP(Tableau5[[#This Row],[Titre B7]],#REF!,15,FALSE)*100</f>
        <v>#REF!</v>
      </c>
      <c r="IP2" s="92" t="e">
        <f>VLOOKUP(Tableau5[[#This Row],[Titre B7]],#REF!,16,FALSE)</f>
        <v>#REF!</v>
      </c>
      <c r="IQ2" s="92" t="e">
        <f>VLOOKUP(Tableau5[[#This Row],[Titre B7]],#REF!,17,FALSE)</f>
        <v>#REF!</v>
      </c>
      <c r="IR2" s="117" t="e">
        <f>VLOOKUP(Tableau5[[#This Row],[Titre B7]],#REF!,18,FALSE)*100</f>
        <v>#REF!</v>
      </c>
      <c r="IS2" s="81" t="e">
        <f>#REF!</f>
        <v>#REF!</v>
      </c>
      <c r="IT2" s="22" t="s">
        <v>278</v>
      </c>
      <c r="IU2" s="22" t="s">
        <v>279</v>
      </c>
      <c r="IV2" s="26" t="s">
        <v>280</v>
      </c>
      <c r="IW2" s="22" t="s">
        <v>281</v>
      </c>
      <c r="IX2" s="26" t="s">
        <v>277</v>
      </c>
      <c r="IY2" s="22" t="s">
        <v>282</v>
      </c>
      <c r="IZ2" s="26"/>
      <c r="JA2" s="26"/>
    </row>
    <row r="3" spans="1:261" ht="15" x14ac:dyDescent="0.25"/>
    <row r="4" spans="1:261" ht="15" x14ac:dyDescent="0.25">
      <c r="CK4" s="77"/>
    </row>
    <row r="5" spans="1:261" ht="15" x14ac:dyDescent="0.25"/>
    <row r="6" spans="1:261" ht="15" x14ac:dyDescent="0.25">
      <c r="DK6" s="79"/>
    </row>
    <row r="7" spans="1:261" ht="69.75" customHeight="1" x14ac:dyDescent="0.25">
      <c r="BM7" s="43"/>
    </row>
    <row r="8" spans="1:261" ht="69.75" customHeight="1" x14ac:dyDescent="0.25">
      <c r="BN8" s="43"/>
    </row>
  </sheetData>
  <phoneticPr fontId="11" type="noConversion"/>
  <conditionalFormatting sqref="AR1:AS1 BX1:CI1">
    <cfRule type="cellIs" dxfId="296" priority="16" operator="lessThan">
      <formula>0</formula>
    </cfRule>
  </conditionalFormatting>
  <conditionalFormatting sqref="BY1:CI1">
    <cfRule type="cellIs" dxfId="295" priority="15" operator="lessThan">
      <formula>0</formula>
    </cfRule>
  </conditionalFormatting>
  <conditionalFormatting sqref="DE1">
    <cfRule type="cellIs" dxfId="294" priority="14" operator="lessThan">
      <formula>0</formula>
    </cfRule>
  </conditionalFormatting>
  <conditionalFormatting sqref="EK1">
    <cfRule type="cellIs" dxfId="293" priority="13" operator="lessThan">
      <formula>0</formula>
    </cfRule>
  </conditionalFormatting>
  <conditionalFormatting sqref="AR2:AS2">
    <cfRule type="cellIs" dxfId="292" priority="12" operator="lessThan">
      <formula>0</formula>
    </cfRule>
  </conditionalFormatting>
  <conditionalFormatting sqref="DD2:DE2">
    <cfRule type="cellIs" dxfId="291" priority="11" operator="lessThan">
      <formula>0</formula>
    </cfRule>
  </conditionalFormatting>
  <conditionalFormatting sqref="FQ1:FY1">
    <cfRule type="cellIs" dxfId="290" priority="10" operator="lessThan">
      <formula>0</formula>
    </cfRule>
  </conditionalFormatting>
  <conditionalFormatting sqref="BX2:BY2">
    <cfRule type="cellIs" dxfId="289" priority="3" operator="lessThan">
      <formula>0</formula>
    </cfRule>
  </conditionalFormatting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#REF!</xm:f>
          </x14:formula1>
          <xm:sqref>GG2 HM2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P7"/>
  <sheetViews>
    <sheetView zoomScale="85" zoomScaleNormal="85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L7" sqref="L7"/>
    </sheetView>
  </sheetViews>
  <sheetFormatPr baseColWidth="10" defaultRowHeight="15" x14ac:dyDescent="0.25"/>
  <cols>
    <col min="1" max="1" width="51.28515625" style="4" bestFit="1" customWidth="1"/>
    <col min="2" max="2" width="26.42578125" style="4" bestFit="1" customWidth="1"/>
    <col min="3" max="3" width="29.85546875" style="4" hidden="1" customWidth="1"/>
    <col min="4" max="6" width="24" style="4" hidden="1" customWidth="1"/>
    <col min="7" max="7" width="31.7109375" style="4" bestFit="1" customWidth="1"/>
    <col min="8" max="8" width="49.85546875" style="4" hidden="1" customWidth="1"/>
    <col min="9" max="9" width="17.5703125" style="4" hidden="1" customWidth="1"/>
    <col min="10" max="10" width="16.5703125" style="4" hidden="1" customWidth="1"/>
    <col min="11" max="11" width="18.42578125" style="4" bestFit="1" customWidth="1"/>
    <col min="12" max="12" width="49.85546875" style="4" bestFit="1" customWidth="1"/>
    <col min="13" max="13" width="17.5703125" style="4" bestFit="1" customWidth="1"/>
    <col min="14" max="14" width="16.5703125" style="4" bestFit="1" customWidth="1"/>
    <col min="15" max="15" width="16.5703125" style="4" customWidth="1"/>
    <col min="16" max="16" width="18.42578125" style="4" bestFit="1" customWidth="1"/>
    <col min="17" max="16384" width="11.42578125" style="4"/>
  </cols>
  <sheetData>
    <row r="1" spans="1:16" ht="26.25" x14ac:dyDescent="0.25">
      <c r="A1" s="3" t="s">
        <v>2</v>
      </c>
    </row>
    <row r="2" spans="1:16" ht="9.75" customHeight="1" x14ac:dyDescent="0.25">
      <c r="E2" s="5"/>
    </row>
    <row r="3" spans="1:16" ht="12.75" customHeight="1" x14ac:dyDescent="0.25">
      <c r="B3" s="6"/>
    </row>
    <row r="4" spans="1:16" ht="45" x14ac:dyDescent="0.25">
      <c r="A4" s="7" t="s">
        <v>3</v>
      </c>
      <c r="C4" s="120">
        <v>2017</v>
      </c>
      <c r="D4" s="121"/>
      <c r="E4" s="121"/>
      <c r="F4" s="121"/>
      <c r="G4" s="122"/>
      <c r="H4" s="123">
        <v>2018</v>
      </c>
      <c r="I4" s="124"/>
      <c r="J4" s="124"/>
      <c r="K4" s="125"/>
      <c r="L4" s="123">
        <v>2019</v>
      </c>
      <c r="M4" s="129"/>
      <c r="N4" s="129"/>
      <c r="O4" s="129"/>
      <c r="P4" s="130"/>
    </row>
    <row r="5" spans="1:16" ht="61.5" customHeight="1" x14ac:dyDescent="0.25">
      <c r="C5" s="126" t="s">
        <v>4</v>
      </c>
      <c r="D5" s="127"/>
      <c r="E5" s="127"/>
      <c r="F5" s="127"/>
      <c r="G5" s="128"/>
      <c r="H5" s="8" t="s">
        <v>5</v>
      </c>
      <c r="I5" s="9"/>
      <c r="J5" s="9"/>
      <c r="K5" s="9"/>
      <c r="L5" s="8"/>
      <c r="M5" s="9"/>
      <c r="N5" s="9"/>
      <c r="O5" s="9"/>
      <c r="P5" s="9"/>
    </row>
    <row r="6" spans="1:16" ht="45" x14ac:dyDescent="0.25">
      <c r="A6" s="4" t="s">
        <v>6</v>
      </c>
      <c r="B6" s="1" t="s">
        <v>52</v>
      </c>
      <c r="C6" s="10" t="s">
        <v>7</v>
      </c>
      <c r="D6" s="10" t="s">
        <v>8</v>
      </c>
      <c r="E6" s="10" t="s">
        <v>9</v>
      </c>
      <c r="F6" s="10" t="s">
        <v>10</v>
      </c>
      <c r="G6" s="5" t="s">
        <v>11</v>
      </c>
      <c r="H6" s="5" t="s">
        <v>12</v>
      </c>
      <c r="I6" s="5" t="s">
        <v>13</v>
      </c>
      <c r="J6" s="5" t="s">
        <v>14</v>
      </c>
      <c r="K6" s="5" t="s">
        <v>15</v>
      </c>
      <c r="L6" s="5" t="s">
        <v>63</v>
      </c>
      <c r="M6" s="5" t="s">
        <v>300</v>
      </c>
      <c r="N6" s="5" t="s">
        <v>299</v>
      </c>
      <c r="O6" s="5" t="s">
        <v>286</v>
      </c>
      <c r="P6" s="5" t="s">
        <v>301</v>
      </c>
    </row>
    <row r="7" spans="1:16" x14ac:dyDescent="0.25">
      <c r="A7" s="4" t="s">
        <v>302</v>
      </c>
      <c r="B7" s="12">
        <v>43192</v>
      </c>
      <c r="C7" s="12"/>
      <c r="D7" s="12"/>
      <c r="E7" s="12"/>
      <c r="F7" s="12"/>
      <c r="G7" s="11" t="s">
        <v>1</v>
      </c>
      <c r="H7" s="12"/>
      <c r="I7" s="12"/>
      <c r="J7" s="12"/>
      <c r="K7" s="11" t="s">
        <v>1</v>
      </c>
      <c r="L7" s="48" t="s">
        <v>65</v>
      </c>
      <c r="M7" s="11">
        <v>43685</v>
      </c>
      <c r="N7" s="11"/>
      <c r="O7" s="11"/>
      <c r="P7" s="11" t="s">
        <v>1</v>
      </c>
    </row>
  </sheetData>
  <mergeCells count="4">
    <mergeCell ref="C4:G4"/>
    <mergeCell ref="H4:K4"/>
    <mergeCell ref="C5:G5"/>
    <mergeCell ref="L4:P4"/>
  </mergeCells>
  <conditionalFormatting sqref="A7:P1420">
    <cfRule type="cellIs" dxfId="25" priority="17" operator="equal">
      <formula>"en cours"</formula>
    </cfRule>
    <cfRule type="containsBlanks" dxfId="24" priority="18">
      <formula>LEN(TRIM(A7))=0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L4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5" x14ac:dyDescent="0.25"/>
  <cols>
    <col min="1" max="1" width="26.140625" style="40" bestFit="1" customWidth="1"/>
    <col min="2" max="2" width="24" style="40" bestFit="1" customWidth="1"/>
    <col min="3" max="3" width="18.85546875" style="40" bestFit="1" customWidth="1"/>
    <col min="4" max="4" width="11.42578125" style="40"/>
    <col min="5" max="5" width="18.140625" style="40" bestFit="1" customWidth="1"/>
    <col min="6" max="6" width="5.7109375" style="40" customWidth="1"/>
    <col min="7" max="7" width="5" style="40" customWidth="1"/>
    <col min="8" max="8" width="26.85546875" style="40" customWidth="1"/>
    <col min="9" max="9" width="6" style="40" customWidth="1"/>
    <col min="10" max="10" width="3.42578125" style="40" customWidth="1"/>
    <col min="11" max="11" width="21.140625" style="40" customWidth="1"/>
    <col min="12" max="12" width="7" style="40" customWidth="1"/>
    <col min="13" max="16384" width="11.42578125" style="40"/>
  </cols>
  <sheetData>
    <row r="1" spans="1:12" ht="23.25" x14ac:dyDescent="0.35">
      <c r="A1" s="131" t="s">
        <v>51</v>
      </c>
      <c r="B1" s="131"/>
      <c r="C1" s="131"/>
      <c r="D1" s="131"/>
      <c r="E1" s="131"/>
      <c r="F1" s="131"/>
    </row>
    <row r="2" spans="1:12" x14ac:dyDescent="0.25">
      <c r="E2" s="40" t="s">
        <v>55</v>
      </c>
      <c r="F2" s="1">
        <v>43</v>
      </c>
      <c r="H2" s="40" t="s">
        <v>56</v>
      </c>
      <c r="I2" s="1">
        <v>25</v>
      </c>
      <c r="K2" s="40" t="s">
        <v>57</v>
      </c>
      <c r="L2" s="1">
        <v>14</v>
      </c>
    </row>
    <row r="3" spans="1:12" ht="30" x14ac:dyDescent="0.25">
      <c r="A3" t="s">
        <v>16</v>
      </c>
      <c r="B3" t="s">
        <v>50</v>
      </c>
      <c r="C3" s="41" t="s">
        <v>0</v>
      </c>
      <c r="F3" s="58">
        <f>F2/(F2+I2+L2)</f>
        <v>0.52439024390243905</v>
      </c>
      <c r="I3" s="58">
        <f>I2/(F2+I2+L2)</f>
        <v>0.3048780487804878</v>
      </c>
      <c r="L3" s="58">
        <f>L2/(F2+I2+L2)</f>
        <v>0.17073170731707318</v>
      </c>
    </row>
    <row r="4" spans="1:12" x14ac:dyDescent="0.25">
      <c r="A4" s="55" t="s">
        <v>302</v>
      </c>
      <c r="B4" s="55" t="s">
        <v>302</v>
      </c>
      <c r="C4" s="56">
        <v>43398</v>
      </c>
    </row>
  </sheetData>
  <mergeCells count="1">
    <mergeCell ref="A1:F1"/>
  </mergeCells>
  <conditionalFormatting sqref="C4">
    <cfRule type="cellIs" dxfId="5" priority="1" operator="lessThanOrEqual">
      <formula>TODAY()-365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BDD client</vt:lpstr>
      <vt:lpstr>suivi rapports</vt:lpstr>
      <vt:lpstr>listing 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2021-01-12T14:15:21Z</dcterms:modified>
</cp:coreProperties>
</file>